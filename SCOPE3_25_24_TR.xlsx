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COPE3 Emissions" sheetId="1" state="visible" r:id="rId1"/>
    <sheet xmlns:r="http://schemas.openxmlformats.org/officeDocument/2006/relationships" name="Cat 1" sheetId="2" state="visible" r:id="rId2"/>
    <sheet xmlns:r="http://schemas.openxmlformats.org/officeDocument/2006/relationships" name="Cat 2" sheetId="3" state="visible" r:id="rId3"/>
    <sheet xmlns:r="http://schemas.openxmlformats.org/officeDocument/2006/relationships" name="Cat 3" sheetId="4" state="visible" r:id="rId4"/>
    <sheet xmlns:r="http://schemas.openxmlformats.org/officeDocument/2006/relationships" name="Cat 4" sheetId="5" state="visible" r:id="rId5"/>
    <sheet xmlns:r="http://schemas.openxmlformats.org/officeDocument/2006/relationships" name="Cat 5" sheetId="6" state="visible" r:id="rId6"/>
    <sheet xmlns:r="http://schemas.openxmlformats.org/officeDocument/2006/relationships" name="Cat 6.7" sheetId="7" state="visible" r:id="rId7"/>
    <sheet xmlns:r="http://schemas.openxmlformats.org/officeDocument/2006/relationships" name="Cat 9" sheetId="8" state="visible" r:id="rId8"/>
    <sheet xmlns:r="http://schemas.openxmlformats.org/officeDocument/2006/relationships" name="SCOPE3 Calculation Basis" sheetId="9" state="visible" r:id="rId9"/>
    <sheet xmlns:r="http://schemas.openxmlformats.org/officeDocument/2006/relationships" name="Calculation Reference Notes" sheetId="10" state="visible" r:id="rId10"/>
  </sheets>
  <externalReferences>
    <externalReference xmlns:r="http://schemas.openxmlformats.org/officeDocument/2006/relationships" r:id="rId11"/>
  </externalReferences>
  <definedNames>
    <definedName name="_xlnm.Print_Area" localSheetId="2">'Cat 2'!$A$1:$H$35</definedName>
    <definedName name="_xlnm.Print_Area" localSheetId="5">'Cat 5'!$A$1:$I$34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_-* #,##0_-;\-* #,##0_-;_-* &quot;-&quot;_-;_-@_-"/>
    <numFmt numFmtId="165" formatCode="#,##0.00&quot; kgCO2eq/kg&quot;"/>
    <numFmt numFmtId="166" formatCode="#,##0.00&quot;kgCO2eq/kg&quot;"/>
    <numFmt numFmtId="167" formatCode="#,##0.00&quot; tCO2eq/억원&quot;"/>
    <numFmt numFmtId="168" formatCode="#,##0.00&quot; kgCO2eq/kWh&quot;"/>
    <numFmt numFmtId="169" formatCode="#,##0.00&quot; kgCO2eq/Nm3&quot;"/>
    <numFmt numFmtId="170" formatCode="#,##0.00&quot; kgCO2eq/L&quot;"/>
    <numFmt numFmtId="171" formatCode="#,##0.00&quot; kgCO2eq/ton-km&quot;"/>
    <numFmt numFmtId="172" formatCode="#,##0.00&quot; kgCO2eq/ton&quot;"/>
    <numFmt numFmtId="173" formatCode="#,##0.00&quot; kgCO2eq/km&quot;"/>
    <numFmt numFmtId="174" formatCode="#,##0.00&quot;tCO2eq&quot;"/>
    <numFmt numFmtId="175" formatCode="_-* #,##0.00_-;\-* #,##0.00_-;_-* &quot;-&quot;??_-;_-@_-"/>
    <numFmt numFmtId="176" formatCode="_-* #,##0.00_-;\-* #,##0.00_-;_-* &quot;-&quot;_-;_-@_-"/>
    <numFmt numFmtId="177" formatCode="#,##0&quot;tCO2eq&quot;"/>
    <numFmt numFmtId="178" formatCode="_-* #,##0.0_-;\-* #,##0.0_-;_-* &quot;-&quot;_-;_-@_-"/>
    <numFmt numFmtId="179" formatCode="#,##0&quot; tCO2eq&quot;"/>
  </numFmts>
  <fonts count="2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현대하모니 L"/>
      <charset val="129"/>
      <family val="1"/>
      <color theme="1"/>
      <sz val="11"/>
    </font>
    <font>
      <name val="현대하모니 L"/>
      <charset val="129"/>
      <family val="1"/>
      <color theme="1"/>
      <sz val="9"/>
    </font>
    <font>
      <name val="현대하모니 B"/>
      <charset val="129"/>
      <family val="1"/>
      <color theme="1"/>
      <sz val="12"/>
    </font>
    <font>
      <name val="현대하모니 L"/>
      <charset val="129"/>
      <family val="1"/>
      <color theme="1"/>
      <sz val="12"/>
    </font>
    <font>
      <name val="현대하모니 L"/>
      <charset val="129"/>
      <family val="1"/>
      <b val="1"/>
      <color theme="1"/>
      <sz val="11"/>
    </font>
    <font>
      <name val="현대하모니 B"/>
      <charset val="129"/>
      <family val="1"/>
      <color rgb="FFFF0000"/>
      <sz val="11"/>
    </font>
    <font>
      <name val="현대하모니 B"/>
      <charset val="129"/>
      <family val="1"/>
      <b val="1"/>
      <color rgb="FFFF0000"/>
      <sz val="14"/>
    </font>
    <font>
      <name val="현대하모니 L"/>
      <charset val="129"/>
      <family val="1"/>
      <color theme="1"/>
      <sz val="10"/>
    </font>
    <font>
      <name val="현대하모니 B"/>
      <charset val="129"/>
      <family val="1"/>
      <color theme="1"/>
      <sz val="20"/>
    </font>
    <font>
      <name val="현대하모니 L"/>
      <charset val="129"/>
      <family val="1"/>
      <b val="1"/>
      <color theme="1"/>
      <sz val="14"/>
    </font>
    <font>
      <name val="현대하모니 L"/>
      <charset val="129"/>
      <family val="1"/>
      <color theme="1"/>
      <sz val="14"/>
    </font>
    <font>
      <name val="현대하모니 B"/>
      <charset val="129"/>
      <family val="1"/>
      <color rgb="FFFF0000"/>
      <sz val="20"/>
    </font>
    <font>
      <name val="현대하모니 L"/>
      <charset val="129"/>
      <family val="1"/>
      <color theme="1"/>
      <sz val="8"/>
    </font>
    <font>
      <name val="현대하모니 L"/>
      <charset val="129"/>
      <family val="1"/>
      <b val="1"/>
      <color theme="1"/>
      <sz val="12"/>
    </font>
    <font>
      <name val="현대하모니 B"/>
      <charset val="129"/>
      <family val="1"/>
      <color theme="1"/>
      <sz val="15"/>
    </font>
    <font>
      <name val="현대하모니 L"/>
      <charset val="129"/>
      <family val="1"/>
      <color theme="1"/>
      <sz val="15"/>
    </font>
    <font>
      <name val="현대하모니 B"/>
      <charset val="129"/>
      <family val="1"/>
      <b val="1"/>
      <color theme="1"/>
      <sz val="20"/>
    </font>
    <font>
      <name val="현대하모니 B"/>
      <charset val="129"/>
      <family val="1"/>
      <b val="1"/>
      <color theme="1"/>
      <sz val="15"/>
    </font>
    <font>
      <name val="현대하모니 L"/>
      <charset val="129"/>
      <family val="1"/>
      <b val="1"/>
      <color rgb="FFFF0000"/>
      <sz val="14"/>
    </font>
  </fonts>
  <fills count="13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3999755851924192"/>
        <bgColor indexed="64"/>
      </patternFill>
    </fill>
  </fills>
  <borders count="50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theme="0" tint="-0.3499862666707358"/>
      </bottom>
      <diagonal/>
    </border>
    <border>
      <left style="medium">
        <color rgb="FFFF0000"/>
      </left>
      <right style="medium">
        <color rgb="FFFF0000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rgb="FFFF0000"/>
      </left>
      <right style="medium">
        <color rgb="FFFF0000"/>
      </right>
      <top style="thin">
        <color theme="0" tint="-0.3499862666707358"/>
      </top>
      <bottom style="medium">
        <color rgb="FFFF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medium">
        <color rgb="FFFF0000"/>
      </left>
      <right style="medium">
        <color rgb="FFFF0000"/>
      </right>
      <top style="thin">
        <color theme="0" tint="-0.3499862666707358"/>
      </top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rgb="FFFF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rgb="FFC00000"/>
      </left>
      <right/>
      <top style="medium">
        <color rgb="FFC00000"/>
      </top>
      <bottom style="thin">
        <color rgb="FFC00000"/>
      </bottom>
      <diagonal/>
    </border>
    <border>
      <left/>
      <right/>
      <top style="medium">
        <color rgb="FFC00000"/>
      </top>
      <bottom style="thin">
        <color rgb="FFC00000"/>
      </bottom>
      <diagonal/>
    </border>
    <border>
      <left/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 style="medium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medium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C00000"/>
      </left>
      <right/>
      <top style="thin">
        <color rgb="FFC00000"/>
      </top>
      <bottom style="medium">
        <color rgb="FFC00000"/>
      </bottom>
      <diagonal/>
    </border>
    <border>
      <left/>
      <right/>
      <top style="thin">
        <color rgb="FFC00000"/>
      </top>
      <bottom style="medium">
        <color rgb="FFC00000"/>
      </bottom>
      <diagonal/>
    </border>
    <border>
      <left/>
      <right style="medium">
        <color rgb="FFC00000"/>
      </right>
      <top style="thin">
        <color rgb="FFC00000"/>
      </top>
      <bottom style="medium">
        <color rgb="FFC00000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/>
      <right/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 style="thin">
        <color rgb="FFC00000"/>
      </top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medium">
        <color rgb="FFC00000"/>
      </right>
      <top/>
      <bottom style="thin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theme="0" tint="-0.3499862666707358"/>
      </left>
      <right/>
      <top/>
      <bottom/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</borders>
  <cellStyleXfs count="3">
    <xf numFmtId="0" fontId="2" fillId="0" borderId="0" applyAlignment="1">
      <alignment vertical="center"/>
    </xf>
    <xf numFmtId="41" fontId="2" fillId="0" borderId="0" applyAlignment="1">
      <alignment vertical="center"/>
    </xf>
    <xf numFmtId="9" fontId="2" fillId="0" borderId="0" applyAlignment="1">
      <alignment vertical="center"/>
    </xf>
  </cellStyleXfs>
  <cellXfs count="240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vertical="center"/>
    </xf>
    <xf numFmtId="166" fontId="4" fillId="0" borderId="1" applyAlignment="1" pivotButton="0" quotePrefix="0" xfId="0">
      <alignment vertical="center"/>
    </xf>
    <xf numFmtId="9" fontId="3" fillId="0" borderId="1" applyAlignment="1" pivotButton="0" quotePrefix="0" xfId="2">
      <alignment vertical="center"/>
    </xf>
    <xf numFmtId="164" fontId="4" fillId="5" borderId="1" applyAlignment="1" pivotButton="0" quotePrefix="0" xfId="1">
      <alignment vertical="center"/>
    </xf>
    <xf numFmtId="0" fontId="3" fillId="6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164" fontId="3" fillId="5" borderId="3" applyAlignment="1" pivotButton="0" quotePrefix="0" xfId="1">
      <alignment vertical="center"/>
    </xf>
    <xf numFmtId="0" fontId="3" fillId="6" borderId="3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164" fontId="3" fillId="5" borderId="5" applyAlignment="1" pivotButton="0" quotePrefix="0" xfId="1">
      <alignment vertical="center"/>
    </xf>
    <xf numFmtId="0" fontId="3" fillId="6" borderId="6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3" fillId="5" borderId="7" applyAlignment="1" pivotButton="0" quotePrefix="0" xfId="0">
      <alignment horizontal="center" vertical="center"/>
    </xf>
    <xf numFmtId="0" fontId="3" fillId="5" borderId="8" applyAlignment="1" pivotButton="0" quotePrefix="0" xfId="0">
      <alignment horizontal="center" vertical="center"/>
    </xf>
    <xf numFmtId="165" fontId="4" fillId="5" borderId="1" applyAlignment="1" pivotButton="0" quotePrefix="0" xfId="0">
      <alignment vertical="center"/>
    </xf>
    <xf numFmtId="166" fontId="4" fillId="5" borderId="1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0" fontId="3" fillId="5" borderId="5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0" fontId="3" fillId="7" borderId="3" applyAlignment="1" pivotButton="0" quotePrefix="0" xfId="0">
      <alignment vertical="center"/>
    </xf>
    <xf numFmtId="9" fontId="3" fillId="7" borderId="1" applyAlignment="1" pivotButton="0" quotePrefix="0" xfId="2">
      <alignment vertical="center"/>
    </xf>
    <xf numFmtId="0" fontId="8" fillId="0" borderId="0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2" fillId="8" borderId="0" applyAlignment="1" pivotButton="0" quotePrefix="0" xfId="0">
      <alignment vertical="center"/>
    </xf>
    <xf numFmtId="167" fontId="4" fillId="0" borderId="1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168" fontId="4" fillId="0" borderId="1" applyAlignment="1" pivotButton="0" quotePrefix="0" xfId="0">
      <alignment vertical="center"/>
    </xf>
    <xf numFmtId="169" fontId="4" fillId="0" borderId="1" applyAlignment="1" pivotButton="0" quotePrefix="0" xfId="0">
      <alignment vertical="center"/>
    </xf>
    <xf numFmtId="170" fontId="4" fillId="0" borderId="1" applyAlignment="1" pivotButton="0" quotePrefix="0" xfId="0">
      <alignment vertical="center"/>
    </xf>
    <xf numFmtId="171" fontId="15" fillId="0" borderId="1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171" fontId="15" fillId="0" borderId="14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/>
    </xf>
    <xf numFmtId="164" fontId="3" fillId="7" borderId="1" applyAlignment="1" pivotButton="0" quotePrefix="0" xfId="1">
      <alignment vertical="center"/>
    </xf>
    <xf numFmtId="165" fontId="4" fillId="10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4" fillId="10" borderId="3" applyAlignment="1" pivotButton="0" quotePrefix="0" xfId="0">
      <alignment vertical="center"/>
    </xf>
    <xf numFmtId="171" fontId="15" fillId="0" borderId="3" applyAlignment="1" pivotButton="0" quotePrefix="0" xfId="0">
      <alignment vertical="center"/>
    </xf>
    <xf numFmtId="165" fontId="4" fillId="5" borderId="3" applyAlignment="1" pivotButton="0" quotePrefix="0" xfId="0">
      <alignment vertical="center"/>
    </xf>
    <xf numFmtId="171" fontId="15" fillId="5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9" fontId="3" fillId="7" borderId="1" applyAlignment="1" pivotButton="0" quotePrefix="0" xfId="0">
      <alignment vertical="center"/>
    </xf>
    <xf numFmtId="172" fontId="15" fillId="0" borderId="14" applyAlignment="1" pivotButton="0" quotePrefix="0" xfId="0">
      <alignment vertical="center"/>
    </xf>
    <xf numFmtId="9" fontId="3" fillId="5" borderId="1" applyAlignment="1" pivotButton="0" quotePrefix="0" xfId="0">
      <alignment vertical="center"/>
    </xf>
    <xf numFmtId="164" fontId="3" fillId="5" borderId="16" applyAlignment="1" pivotButton="0" quotePrefix="0" xfId="1">
      <alignment vertical="center"/>
    </xf>
    <xf numFmtId="9" fontId="3" fillId="5" borderId="16" applyAlignment="1" pivotButton="0" quotePrefix="0" xfId="1">
      <alignment vertical="center"/>
    </xf>
    <xf numFmtId="9" fontId="3" fillId="0" borderId="14" applyAlignment="1" pivotButton="0" quotePrefix="0" xfId="0">
      <alignment vertical="center"/>
    </xf>
    <xf numFmtId="173" fontId="4" fillId="0" borderId="1" applyAlignment="1" pivotButton="0" quotePrefix="0" xfId="0">
      <alignment vertical="center"/>
    </xf>
    <xf numFmtId="0" fontId="3" fillId="9" borderId="5" applyAlignment="1" pivotButton="0" quotePrefix="0" xfId="0">
      <alignment vertical="center"/>
    </xf>
    <xf numFmtId="0" fontId="3" fillId="9" borderId="9" applyAlignment="1" pivotButton="0" quotePrefix="0" xfId="0">
      <alignment vertical="center"/>
    </xf>
    <xf numFmtId="0" fontId="3" fillId="9" borderId="3" applyAlignment="1" pivotButton="0" quotePrefix="0" xfId="0">
      <alignment vertical="center"/>
    </xf>
    <xf numFmtId="0" fontId="3" fillId="9" borderId="16" applyAlignment="1" pivotButton="0" quotePrefix="0" xfId="0">
      <alignment vertical="center"/>
    </xf>
    <xf numFmtId="171" fontId="15" fillId="9" borderId="16" applyAlignment="1" pivotButton="0" quotePrefix="0" xfId="0">
      <alignment vertical="center"/>
    </xf>
    <xf numFmtId="164" fontId="3" fillId="9" borderId="16" applyAlignment="1" pivotButton="0" quotePrefix="0" xfId="1">
      <alignment vertical="center"/>
    </xf>
    <xf numFmtId="164" fontId="3" fillId="9" borderId="5" applyAlignment="1" pivotButton="0" quotePrefix="0" xfId="1">
      <alignment vertical="center"/>
    </xf>
    <xf numFmtId="164" fontId="3" fillId="9" borderId="3" applyAlignment="1" pivotButton="0" quotePrefix="0" xfId="1">
      <alignment vertical="center"/>
    </xf>
    <xf numFmtId="164" fontId="15" fillId="7" borderId="1" applyAlignment="1" pivotButton="0" quotePrefix="0" xfId="1">
      <alignment vertical="center"/>
    </xf>
    <xf numFmtId="164" fontId="15" fillId="7" borderId="3" applyAlignment="1" pivotButton="0" quotePrefix="0" xfId="1">
      <alignment vertical="center"/>
    </xf>
    <xf numFmtId="0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3" fillId="9" borderId="0" applyAlignment="1" pivotButton="0" quotePrefix="0" xfId="0">
      <alignment horizontal="center" vertical="center"/>
    </xf>
    <xf numFmtId="0" fontId="5" fillId="9" borderId="2" applyAlignment="1" pivotButton="0" quotePrefix="0" xfId="0">
      <alignment vertical="center"/>
    </xf>
    <xf numFmtId="0" fontId="6" fillId="9" borderId="2" applyAlignment="1" pivotButton="0" quotePrefix="0" xfId="0">
      <alignment vertical="center"/>
    </xf>
    <xf numFmtId="0" fontId="5" fillId="9" borderId="0" applyAlignment="1" pivotButton="0" quotePrefix="0" xfId="0">
      <alignment vertical="center"/>
    </xf>
    <xf numFmtId="0" fontId="6" fillId="0" borderId="14" applyAlignment="1" pivotButton="0" quotePrefix="0" xfId="0">
      <alignment vertical="center" wrapText="1"/>
    </xf>
    <xf numFmtId="0" fontId="6" fillId="0" borderId="14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3" fillId="0" borderId="14" applyAlignment="1" pivotButton="0" quotePrefix="0" xfId="0">
      <alignment horizontal="center" vertical="center" wrapText="1"/>
    </xf>
    <xf numFmtId="0" fontId="13" fillId="0" borderId="14" applyAlignment="1" pivotButton="0" quotePrefix="0" xfId="0">
      <alignment vertical="center" wrapText="1"/>
    </xf>
    <xf numFmtId="0" fontId="13" fillId="0" borderId="14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2" fillId="10" borderId="14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173" fontId="4" fillId="0" borderId="3" applyAlignment="1" pivotButton="0" quotePrefix="0" xfId="0">
      <alignment vertical="center"/>
    </xf>
    <xf numFmtId="0" fontId="7" fillId="2" borderId="20" applyAlignment="1" pivotButton="0" quotePrefix="0" xfId="0">
      <alignment horizontal="center" vertical="center"/>
    </xf>
    <xf numFmtId="173" fontId="4" fillId="0" borderId="20" applyAlignment="1" pivotButton="0" quotePrefix="0" xfId="0">
      <alignment vertical="center"/>
    </xf>
    <xf numFmtId="164" fontId="4" fillId="5" borderId="20" applyAlignment="1" pivotButton="0" quotePrefix="0" xfId="1">
      <alignment vertical="center"/>
    </xf>
    <xf numFmtId="0" fontId="3" fillId="6" borderId="20" applyAlignment="1" pivotButton="0" quotePrefix="0" xfId="0">
      <alignment vertical="center"/>
    </xf>
    <xf numFmtId="173" fontId="4" fillId="0" borderId="5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6" fillId="5" borderId="14" applyAlignment="1" pivotButton="0" quotePrefix="0" xfId="0">
      <alignment horizontal="center" vertical="center" wrapText="1"/>
    </xf>
    <xf numFmtId="0" fontId="6" fillId="5" borderId="14" applyAlignment="1" pivotButton="0" quotePrefix="0" xfId="0">
      <alignment vertical="center" wrapText="1"/>
    </xf>
    <xf numFmtId="0" fontId="16" fillId="3" borderId="14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center"/>
    </xf>
    <xf numFmtId="174" fontId="6" fillId="5" borderId="14" applyAlignment="1" pivotButton="0" quotePrefix="0" xfId="0">
      <alignment vertical="center" wrapText="1"/>
    </xf>
    <xf numFmtId="164" fontId="3" fillId="0" borderId="1" applyAlignment="1" pivotButton="0" quotePrefix="0" xfId="0">
      <alignment vertical="center"/>
    </xf>
    <xf numFmtId="164" fontId="3" fillId="7" borderId="1" applyAlignment="1" pivotButton="0" quotePrefix="0" xfId="0">
      <alignment vertical="center"/>
    </xf>
    <xf numFmtId="175" fontId="3" fillId="0" borderId="0" applyAlignment="1" pivotButton="0" quotePrefix="0" xfId="0">
      <alignment vertical="center"/>
    </xf>
    <xf numFmtId="164" fontId="3" fillId="9" borderId="9" applyAlignment="1" pivotButton="0" quotePrefix="0" xfId="1">
      <alignment vertical="center"/>
    </xf>
    <xf numFmtId="164" fontId="3" fillId="6" borderId="3" applyAlignment="1" pivotButton="0" quotePrefix="0" xfId="1">
      <alignment vertical="center"/>
    </xf>
    <xf numFmtId="164" fontId="3" fillId="6" borderId="6" applyAlignment="1" pivotButton="0" quotePrefix="0" xfId="1">
      <alignment vertical="center"/>
    </xf>
    <xf numFmtId="164" fontId="15" fillId="9" borderId="16" applyAlignment="1" pivotButton="0" quotePrefix="0" xfId="1">
      <alignment vertical="center"/>
    </xf>
    <xf numFmtId="164" fontId="3" fillId="7" borderId="3" applyAlignment="1" pivotButton="0" quotePrefix="0" xfId="1">
      <alignment vertical="center"/>
    </xf>
    <xf numFmtId="176" fontId="3" fillId="10" borderId="7" applyAlignment="1" pivotButton="0" quotePrefix="0" xfId="1">
      <alignment vertical="center"/>
    </xf>
    <xf numFmtId="176" fontId="3" fillId="10" borderId="7" applyAlignment="1" pivotButton="0" quotePrefix="0" xfId="1">
      <alignment horizontal="center" vertical="center"/>
    </xf>
    <xf numFmtId="164" fontId="3" fillId="4" borderId="1" applyAlignment="1" pivotButton="0" quotePrefix="0" xfId="1">
      <alignment vertical="center"/>
    </xf>
    <xf numFmtId="164" fontId="3" fillId="4" borderId="20" applyAlignment="1" pivotButton="0" quotePrefix="0" xfId="1">
      <alignment vertical="center"/>
    </xf>
    <xf numFmtId="0" fontId="3" fillId="0" borderId="1" applyAlignment="1" pivotButton="0" quotePrefix="0" xfId="0">
      <alignment horizontal="center" vertical="center" shrinkToFit="1"/>
    </xf>
    <xf numFmtId="164" fontId="3" fillId="11" borderId="1" applyAlignment="1" pivotButton="0" quotePrefix="0" xfId="1">
      <alignment vertical="center"/>
    </xf>
    <xf numFmtId="164" fontId="3" fillId="11" borderId="3" applyAlignment="1" pivotButton="0" quotePrefix="0" xfId="1">
      <alignment vertical="center"/>
    </xf>
    <xf numFmtId="177" fontId="6" fillId="0" borderId="14" applyAlignment="1" pivotButton="0" quotePrefix="0" xfId="0">
      <alignment vertical="center" wrapText="1"/>
    </xf>
    <xf numFmtId="177" fontId="6" fillId="5" borderId="14" applyAlignment="1" pivotButton="0" quotePrefix="0" xfId="0">
      <alignment vertical="center" wrapText="1"/>
    </xf>
    <xf numFmtId="178" fontId="3" fillId="7" borderId="1" applyAlignment="1" pivotButton="0" quotePrefix="0" xfId="1">
      <alignment vertical="center"/>
    </xf>
    <xf numFmtId="43" fontId="3" fillId="10" borderId="7" applyAlignment="1" pivotButton="0" quotePrefix="0" xfId="0">
      <alignment horizontal="center" vertical="center"/>
    </xf>
    <xf numFmtId="164" fontId="3" fillId="0" borderId="0" applyAlignment="1" pivotButton="0" quotePrefix="0" xfId="1">
      <alignment vertical="center"/>
    </xf>
    <xf numFmtId="0" fontId="16" fillId="3" borderId="14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20" fillId="0" borderId="22" applyAlignment="1" pivotButton="0" quotePrefix="0" xfId="0">
      <alignment horizontal="center" vertical="center"/>
    </xf>
    <xf numFmtId="0" fontId="20" fillId="0" borderId="23" applyAlignment="1" pivotButton="0" quotePrefix="0" xfId="0">
      <alignment horizontal="center" vertical="center"/>
    </xf>
    <xf numFmtId="177" fontId="20" fillId="0" borderId="24" applyAlignment="1" pivotButton="0" quotePrefix="0" xfId="0">
      <alignment horizontal="center" vertical="center"/>
    </xf>
    <xf numFmtId="177" fontId="20" fillId="0" borderId="25" applyAlignment="1" pivotButton="0" quotePrefix="0" xfId="0">
      <alignment horizontal="center" vertical="center"/>
    </xf>
    <xf numFmtId="177" fontId="20" fillId="0" borderId="26" applyAlignment="1" pivotButton="0" quotePrefix="0" xfId="0">
      <alignment horizontal="center" vertical="center"/>
    </xf>
    <xf numFmtId="177" fontId="20" fillId="0" borderId="27" applyAlignment="1" pivotButton="0" quotePrefix="0" xfId="0">
      <alignment horizontal="center" vertical="center"/>
    </xf>
    <xf numFmtId="177" fontId="20" fillId="0" borderId="28" applyAlignment="1" pivotButton="0" quotePrefix="0" xfId="0">
      <alignment horizontal="center" vertical="center"/>
    </xf>
    <xf numFmtId="177" fontId="20" fillId="0" borderId="29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5" borderId="7" applyAlignment="1" pivotButton="0" quotePrefix="0" xfId="0">
      <alignment horizontal="center" vertical="center"/>
    </xf>
    <xf numFmtId="0" fontId="3" fillId="5" borderId="8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179" fontId="9" fillId="8" borderId="10" applyAlignment="1" pivotButton="0" quotePrefix="0" xfId="0">
      <alignment horizontal="center" vertical="center"/>
    </xf>
    <xf numFmtId="179" fontId="9" fillId="8" borderId="11" applyAlignment="1" pivotButton="0" quotePrefix="0" xfId="0">
      <alignment horizontal="center" vertical="center"/>
    </xf>
    <xf numFmtId="179" fontId="9" fillId="8" borderId="12" applyAlignment="1" pivotButton="0" quotePrefix="0" xfId="0">
      <alignment horizontal="center" vertical="center"/>
    </xf>
    <xf numFmtId="179" fontId="9" fillId="8" borderId="13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3" fillId="5" borderId="15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 wrapText="1"/>
    </xf>
    <xf numFmtId="0" fontId="13" fillId="0" borderId="18" applyAlignment="1" pivotButton="0" quotePrefix="0" xfId="0">
      <alignment horizontal="center" vertical="center" wrapText="1"/>
    </xf>
    <xf numFmtId="0" fontId="13" fillId="0" borderId="19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2" fillId="10" borderId="14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/>
    </xf>
    <xf numFmtId="164" fontId="3" fillId="0" borderId="0" applyAlignment="1" pivotButton="0" quotePrefix="0" xfId="1">
      <alignment vertical="center"/>
    </xf>
    <xf numFmtId="0" fontId="0" fillId="0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20" fillId="0" borderId="35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177" fontId="6" fillId="0" borderId="14" applyAlignment="1" pivotButton="0" quotePrefix="0" xfId="0">
      <alignment vertical="center" wrapText="1"/>
    </xf>
    <xf numFmtId="177" fontId="20" fillId="0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40" pivotButton="0" quotePrefix="0" xfId="0"/>
    <xf numFmtId="0" fontId="0" fillId="0" borderId="18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19" pivotButton="0" quotePrefix="0" xfId="0"/>
    <xf numFmtId="177" fontId="6" fillId="5" borderId="14" applyAlignment="1" pivotButton="0" quotePrefix="0" xfId="0">
      <alignment vertical="center" wrapText="1"/>
    </xf>
    <xf numFmtId="174" fontId="6" fillId="5" borderId="14" applyAlignment="1" pivotButton="0" quotePrefix="0" xfId="0">
      <alignment vertical="center" wrapText="1"/>
    </xf>
    <xf numFmtId="179" fontId="9" fillId="8" borderId="45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2" pivotButton="0" quotePrefix="0" xfId="0"/>
    <xf numFmtId="0" fontId="0" fillId="0" borderId="20" pivotButton="0" quotePrefix="0" xfId="0"/>
    <xf numFmtId="165" fontId="4" fillId="0" borderId="1" applyAlignment="1" pivotButton="0" quotePrefix="0" xfId="0">
      <alignment vertical="center"/>
    </xf>
    <xf numFmtId="166" fontId="4" fillId="0" borderId="1" applyAlignment="1" pivotButton="0" quotePrefix="0" xfId="0">
      <alignment vertical="center"/>
    </xf>
    <xf numFmtId="165" fontId="4" fillId="5" borderId="1" applyAlignment="1" pivotButton="0" quotePrefix="0" xfId="0">
      <alignment vertical="center"/>
    </xf>
    <xf numFmtId="166" fontId="4" fillId="5" borderId="1" applyAlignment="1" pivotButton="0" quotePrefix="0" xfId="0">
      <alignment vertical="center"/>
    </xf>
    <xf numFmtId="0" fontId="0" fillId="0" borderId="8" pivotButton="0" quotePrefix="0" xfId="0"/>
    <xf numFmtId="164" fontId="4" fillId="5" borderId="1" applyAlignment="1" pivotButton="0" quotePrefix="0" xfId="1">
      <alignment vertical="center"/>
    </xf>
    <xf numFmtId="164" fontId="3" fillId="5" borderId="3" applyAlignment="1" pivotButton="0" quotePrefix="0" xfId="1">
      <alignment vertical="center"/>
    </xf>
    <xf numFmtId="164" fontId="3" fillId="5" borderId="5" applyAlignment="1" pivotButton="0" quotePrefix="0" xfId="1">
      <alignment vertical="center"/>
    </xf>
    <xf numFmtId="164" fontId="3" fillId="0" borderId="1" applyAlignment="1" pivotButton="0" quotePrefix="0" xfId="0">
      <alignment vertical="center"/>
    </xf>
    <xf numFmtId="164" fontId="3" fillId="7" borderId="1" applyAlignment="1" pivotButton="0" quotePrefix="0" xfId="0">
      <alignment vertical="center"/>
    </xf>
    <xf numFmtId="164" fontId="3" fillId="9" borderId="3" applyAlignment="1" pivotButton="0" quotePrefix="0" xfId="1">
      <alignment vertical="center"/>
    </xf>
    <xf numFmtId="164" fontId="3" fillId="9" borderId="5" applyAlignment="1" pivotButton="0" quotePrefix="0" xfId="1">
      <alignment vertical="center"/>
    </xf>
    <xf numFmtId="164" fontId="3" fillId="7" borderId="1" applyAlignment="1" pivotButton="0" quotePrefix="0" xfId="1">
      <alignment vertical="center"/>
    </xf>
    <xf numFmtId="164" fontId="3" fillId="9" borderId="9" applyAlignment="1" pivotButton="0" quotePrefix="0" xfId="1">
      <alignment vertical="center"/>
    </xf>
    <xf numFmtId="164" fontId="3" fillId="6" borderId="3" applyAlignment="1" pivotButton="0" quotePrefix="0" xfId="1">
      <alignment vertical="center"/>
    </xf>
    <xf numFmtId="164" fontId="3" fillId="6" borderId="6" applyAlignment="1" pivotButton="0" quotePrefix="0" xfId="1">
      <alignment vertical="center"/>
    </xf>
    <xf numFmtId="167" fontId="4" fillId="0" borderId="1" applyAlignment="1" pivotButton="0" quotePrefix="0" xfId="0">
      <alignment vertical="center"/>
    </xf>
    <xf numFmtId="178" fontId="3" fillId="7" borderId="1" applyAlignment="1" pivotButton="0" quotePrefix="0" xfId="1">
      <alignment vertical="center"/>
    </xf>
    <xf numFmtId="168" fontId="4" fillId="0" borderId="1" applyAlignment="1" pivotButton="0" quotePrefix="0" xfId="0">
      <alignment vertical="center"/>
    </xf>
    <xf numFmtId="170" fontId="4" fillId="0" borderId="1" applyAlignment="1" pivotButton="0" quotePrefix="0" xfId="0">
      <alignment vertical="center"/>
    </xf>
    <xf numFmtId="169" fontId="4" fillId="0" borderId="1" applyAlignment="1" pivotButton="0" quotePrefix="0" xfId="0">
      <alignment vertical="center"/>
    </xf>
    <xf numFmtId="171" fontId="15" fillId="0" borderId="14" applyAlignment="1" pivotButton="0" quotePrefix="0" xfId="0">
      <alignment vertical="center"/>
    </xf>
    <xf numFmtId="0" fontId="0" fillId="0" borderId="15" pivotButton="0" quotePrefix="0" xfId="0"/>
    <xf numFmtId="171" fontId="15" fillId="5" borderId="1" applyAlignment="1" pivotButton="0" quotePrefix="0" xfId="0">
      <alignment vertical="center"/>
    </xf>
    <xf numFmtId="165" fontId="4" fillId="5" borderId="3" applyAlignment="1" pivotButton="0" quotePrefix="0" xfId="0">
      <alignment vertical="center"/>
    </xf>
    <xf numFmtId="165" fontId="4" fillId="10" borderId="1" applyAlignment="1" pivotButton="0" quotePrefix="0" xfId="0">
      <alignment vertical="center"/>
    </xf>
    <xf numFmtId="165" fontId="4" fillId="10" borderId="3" applyAlignment="1" pivotButton="0" quotePrefix="0" xfId="0">
      <alignment vertical="center"/>
    </xf>
    <xf numFmtId="164" fontId="3" fillId="9" borderId="16" applyAlignment="1" pivotButton="0" quotePrefix="0" xfId="1">
      <alignment vertical="center"/>
    </xf>
    <xf numFmtId="171" fontId="15" fillId="0" borderId="1" applyAlignment="1" pivotButton="0" quotePrefix="0" xfId="0">
      <alignment vertical="center"/>
    </xf>
    <xf numFmtId="171" fontId="15" fillId="0" borderId="3" applyAlignment="1" pivotButton="0" quotePrefix="0" xfId="0">
      <alignment vertical="center"/>
    </xf>
    <xf numFmtId="164" fontId="15" fillId="9" borderId="16" applyAlignment="1" pivotButton="0" quotePrefix="0" xfId="1">
      <alignment vertical="center"/>
    </xf>
    <xf numFmtId="164" fontId="3" fillId="7" borderId="3" applyAlignment="1" pivotButton="0" quotePrefix="0" xfId="1">
      <alignment vertical="center"/>
    </xf>
    <xf numFmtId="172" fontId="15" fillId="0" borderId="14" applyAlignment="1" pivotButton="0" quotePrefix="0" xfId="0">
      <alignment vertical="center"/>
    </xf>
    <xf numFmtId="164" fontId="3" fillId="5" borderId="16" applyAlignment="1" pivotButton="0" quotePrefix="0" xfId="1">
      <alignment vertical="center"/>
    </xf>
    <xf numFmtId="176" fontId="3" fillId="10" borderId="7" applyAlignment="1" pivotButton="0" quotePrefix="0" xfId="1">
      <alignment vertical="center"/>
    </xf>
    <xf numFmtId="176" fontId="3" fillId="10" borderId="7" applyAlignment="1" pivotButton="0" quotePrefix="0" xfId="1">
      <alignment horizontal="center" vertical="center"/>
    </xf>
    <xf numFmtId="43" fontId="3" fillId="10" borderId="7" applyAlignment="1" pivotButton="0" quotePrefix="0" xfId="0">
      <alignment horizontal="center" vertical="center"/>
    </xf>
    <xf numFmtId="0" fontId="0" fillId="0" borderId="49" pivotButton="0" quotePrefix="0" xfId="0"/>
    <xf numFmtId="173" fontId="4" fillId="0" borderId="1" applyAlignment="1" pivotButton="0" quotePrefix="0" xfId="0">
      <alignment vertical="center"/>
    </xf>
    <xf numFmtId="173" fontId="4" fillId="0" borderId="3" applyAlignment="1" pivotButton="0" quotePrefix="0" xfId="0">
      <alignment vertical="center"/>
    </xf>
    <xf numFmtId="173" fontId="4" fillId="0" borderId="5" applyAlignment="1" pivotButton="0" quotePrefix="0" xfId="0">
      <alignment vertical="center"/>
    </xf>
    <xf numFmtId="173" fontId="4" fillId="0" borderId="20" applyAlignment="1" pivotButton="0" quotePrefix="0" xfId="0">
      <alignment vertical="center"/>
    </xf>
    <xf numFmtId="164" fontId="4" fillId="5" borderId="20" applyAlignment="1" pivotButton="0" quotePrefix="0" xfId="1">
      <alignment vertical="center"/>
    </xf>
    <xf numFmtId="164" fontId="3" fillId="4" borderId="1" applyAlignment="1" pivotButton="0" quotePrefix="0" xfId="1">
      <alignment vertical="center"/>
    </xf>
    <xf numFmtId="164" fontId="3" fillId="4" borderId="20" applyAlignment="1" pivotButton="0" quotePrefix="0" xfId="1">
      <alignment vertical="center"/>
    </xf>
    <xf numFmtId="175" fontId="3" fillId="0" borderId="0" applyAlignment="1" pivotButton="0" quotePrefix="0" xfId="0">
      <alignment vertical="center"/>
    </xf>
    <xf numFmtId="171" fontId="15" fillId="9" borderId="16" applyAlignment="1" pivotButton="0" quotePrefix="0" xfId="0">
      <alignment vertical="center"/>
    </xf>
    <xf numFmtId="164" fontId="15" fillId="7" borderId="1" applyAlignment="1" pivotButton="0" quotePrefix="0" xfId="1">
      <alignment vertical="center"/>
    </xf>
    <xf numFmtId="164" fontId="15" fillId="7" borderId="3" applyAlignment="1" pivotButton="0" quotePrefix="0" xfId="1">
      <alignment vertical="center"/>
    </xf>
    <xf numFmtId="164" fontId="3" fillId="11" borderId="1" applyAlignment="1" pivotButton="0" quotePrefix="0" xfId="1">
      <alignment vertical="center"/>
    </xf>
    <xf numFmtId="164" fontId="3" fillId="11" borderId="3" applyAlignment="1" pivotButton="0" quotePrefix="0" xfId="1">
      <alignment vertical="center"/>
    </xf>
    <xf numFmtId="164" fontId="0" fillId="0" borderId="0" applyAlignment="1" pivotButton="0" quotePrefix="0" xfId="1">
      <alignment vertical="center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drawing1.xml><?xml version="1.0" encoding="utf-8"?>
<wsDr xmlns="http://schemas.openxmlformats.org/drawingml/2006/spreadsheetDrawing">
  <twoCellAnchor editAs="oneCell">
    <from>
      <col>9</col>
      <colOff>196104</colOff>
      <row>1</row>
      <rowOff>8805</rowOff>
    </from>
    <to>
      <col>12</col>
      <colOff>503245</colOff>
      <row>7</row>
      <rowOff>240081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659722" y="232923"/>
          <a:ext cx="3950072" cy="1883396"/>
        </a:xfrm>
        <a:prstGeom xmlns:a="http://schemas.openxmlformats.org/drawingml/2006/main" prst="rect">
          <avLst/>
        </a:prstGeom>
        <a:ln xmlns:a="http://schemas.openxmlformats.org/drawingml/2006/main" w="25400">
          <a:solidFill>
            <a:schemeClr val="accent2"/>
          </a:solidFill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11</col>
      <colOff>459467</colOff>
      <row>8</row>
      <rowOff>435428</rowOff>
    </from>
    <to>
      <col>29</col>
      <colOff>431817</colOff>
      <row>25</row>
      <rowOff>223322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359038" y="2721428"/>
          <a:ext cx="12640600" cy="59791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9</col>
      <colOff>196104</colOff>
      <row>1</row>
      <rowOff>8805</rowOff>
    </from>
    <to>
      <col>12</col>
      <colOff>503245</colOff>
      <row>7</row>
      <rowOff>240081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76754" y="307255"/>
          <a:ext cx="3967916" cy="1904501"/>
        </a:xfrm>
        <a:prstGeom xmlns:a="http://schemas.openxmlformats.org/drawingml/2006/main" prst="rect">
          <avLst/>
        </a:prstGeom>
        <a:ln xmlns:a="http://schemas.openxmlformats.org/drawingml/2006/main" w="25400">
          <a:solidFill>
            <a:schemeClr val="accent2"/>
          </a:solidFill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10</col>
      <colOff>85724</colOff>
      <row>1</row>
      <rowOff>45371</rowOff>
    </from>
    <to>
      <col>18</col>
      <colOff>214374</colOff>
      <row>20</row>
      <rowOff>169546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89724" y="261271"/>
          <a:ext cx="5589650" cy="42262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</row>
      <rowOff>25400</rowOff>
    </from>
    <to>
      <col>9</col>
      <colOff>137371</colOff>
      <row>36</row>
      <rowOff>20119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241300"/>
          <a:ext cx="6080971" cy="75512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25&#45380;%20&#45936;&#51060;&#53552;%20&#51456;&#48708;/SCOPE%203%20&#51456;&#48708;/&#48277;&#51064;&#51217;&#49688;&#51088;&#47308;/&#48376;&#49324;/SCOPE3%20&#48176;&#52636;&#47049;_&#48376;&#49324;_CAT1,4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OPE3 배출량"/>
      <sheetName val="CAT1,CAT4기준 정리"/>
      <sheetName val="Cat 1"/>
      <sheetName val="Cat 2"/>
      <sheetName val="Cat 3"/>
      <sheetName val="Cat 4"/>
      <sheetName val="Cat 5"/>
      <sheetName val="Cat 6.7"/>
      <sheetName val="Cat 9"/>
      <sheetName val="SCOPE3 산정 근거"/>
      <sheetName val="계산 참고 메모"/>
    </sheetNames>
    <sheetDataSet>
      <sheetData sheetId="0"/>
      <sheetData sheetId="1">
        <row r="20">
          <cell r="C20">
            <v>619</v>
          </cell>
          <cell r="D20">
            <v>694</v>
          </cell>
          <cell r="E20">
            <v>828</v>
          </cell>
          <cell r="F20">
            <v>520</v>
          </cell>
          <cell r="G20">
            <v>0</v>
          </cell>
          <cell r="H20">
            <v>18667</v>
          </cell>
          <cell r="I20">
            <v>5211.28</v>
          </cell>
          <cell r="J20">
            <v>2870.2</v>
          </cell>
          <cell r="K20">
            <v>672</v>
          </cell>
        </row>
        <row r="22">
          <cell r="C22" t="str">
            <v>준테크</v>
          </cell>
          <cell r="D22" t="str">
            <v>형제정밀기계</v>
          </cell>
          <cell r="E22" t="str">
            <v>삼화테크</v>
          </cell>
          <cell r="F22" t="str">
            <v>프로테크</v>
          </cell>
          <cell r="G22" t="str">
            <v>우림테크</v>
          </cell>
          <cell r="H22" t="str">
            <v>대창공업</v>
          </cell>
          <cell r="I22" t="str">
            <v>영진기업</v>
          </cell>
          <cell r="J22" t="str">
            <v>성일기업</v>
          </cell>
          <cell r="K22" t="str">
            <v>세진정공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19"/>
  <sheetViews>
    <sheetView showGridLines="0" tabSelected="1" zoomScale="85" zoomScaleNormal="85" workbookViewId="0">
      <selection activeCell="H15" sqref="H15"/>
    </sheetView>
  </sheetViews>
  <sheetFormatPr baseColWidth="8" defaultRowHeight="13"/>
  <cols>
    <col width="2.4140625" customWidth="1" style="2" min="1" max="1"/>
    <col width="12.1640625" customWidth="1" style="2" min="2" max="2"/>
    <col width="7.1640625" customWidth="1" style="2" min="3" max="3"/>
    <col width="22" bestFit="1" customWidth="1" style="2" min="4" max="4"/>
    <col width="24.33203125" customWidth="1" style="2" min="5" max="5"/>
    <col width="24.4140625" customWidth="1" style="2" min="6" max="6"/>
    <col width="2.9140625" customWidth="1" style="2" min="7" max="7"/>
    <col width="8.6640625" customWidth="1" style="2" min="8" max="11"/>
    <col width="2.75" customWidth="1" style="2" min="12" max="12"/>
    <col width="8.6640625" customWidth="1" style="2" min="13" max="13"/>
    <col width="31.25" bestFit="1" customWidth="1" style="2" min="14" max="14"/>
    <col width="76.1640625" bestFit="1" customWidth="1" style="2" min="15" max="15"/>
    <col width="12" bestFit="1" customWidth="1" style="164" min="16" max="16"/>
    <col width="8.6640625" customWidth="1" style="2" min="17" max="16384"/>
  </cols>
  <sheetData>
    <row r="1" ht="17.5" customHeight="1" s="165">
      <c r="B1" s="104" t="inlineStr">
        <is>
          <t>★ DSC Company-wide SCOPE 3 Emissions Inventory</t>
        </is>
      </c>
    </row>
    <row r="3" ht="13.5" customHeight="1" s="165" thickBot="1"/>
    <row r="4" ht="31.5" customHeight="1" s="165">
      <c r="B4" s="130" t="inlineStr">
        <is>
          <t>Category</t>
        </is>
      </c>
      <c r="C4" s="166" t="n"/>
      <c r="D4" s="167" t="n"/>
      <c r="E4" s="130" t="inlineStr">
        <is>
          <t>Emissions</t>
        </is>
      </c>
      <c r="F4" s="108" t="inlineStr">
        <is>
          <t>Remarks</t>
        </is>
      </c>
      <c r="H4" s="168" t="inlineStr">
        <is>
          <t>TOTAL</t>
        </is>
      </c>
      <c r="I4" s="169" t="n"/>
      <c r="J4" s="169" t="n"/>
      <c r="K4" s="170" t="n"/>
      <c r="N4" s="3" t="inlineStr">
        <is>
          <t>Prepared by</t>
        </is>
      </c>
      <c r="O4" s="3" t="inlineStr">
        <is>
          <t>Remarks</t>
        </is>
      </c>
    </row>
    <row r="5" ht="31.5" customHeight="1" s="165">
      <c r="B5" s="131" t="inlineStr">
        <is>
          <t>Up stream</t>
        </is>
      </c>
      <c r="C5" s="131" t="n">
        <v>1</v>
      </c>
      <c r="D5" s="85" t="inlineStr">
        <is>
          <t>Purchased Goods and Services</t>
        </is>
      </c>
      <c r="E5" s="171">
        <f>'Cat 1'!F4</f>
        <v/>
      </c>
      <c r="F5" s="43" t="inlineStr">
        <is>
          <t xml:space="preserve"> </t>
        </is>
      </c>
      <c r="H5" s="172">
        <f>SUM(E5:E19)</f>
        <v/>
      </c>
      <c r="I5" s="173" t="n"/>
      <c r="J5" s="173" t="n"/>
      <c r="K5" s="174" t="n"/>
      <c r="N5" s="3" t="inlineStr">
        <is>
          <t>Parts Purchasing Team + Parts Development Team + Subsidiaries + Logistics Center</t>
        </is>
      </c>
      <c r="O5" s="3" t="inlineStr">
        <is>
          <t>HQ related departments cooperation needed for development item details; Logistics Center cooperation needed for subsidiary export items</t>
        </is>
      </c>
      <c r="P5" s="164">
        <f>E5*92%</f>
        <v/>
      </c>
    </row>
    <row r="6" ht="31.5" customHeight="1" s="165" thickBot="1">
      <c r="B6" s="175" t="n"/>
      <c r="C6" s="131" t="n">
        <v>2</v>
      </c>
      <c r="D6" s="85" t="inlineStr">
        <is>
          <t>Capital Goods</t>
        </is>
      </c>
      <c r="E6" s="171">
        <f>'Cat 2'!F4</f>
        <v/>
      </c>
      <c r="F6" s="43" t="n"/>
      <c r="H6" s="176" t="n"/>
      <c r="I6" s="177" t="n"/>
      <c r="J6" s="177" t="n"/>
      <c r="K6" s="178" t="n"/>
      <c r="N6" s="3" t="inlineStr">
        <is>
          <t>Finance Team + Subsidiaries</t>
        </is>
      </c>
      <c r="O6" s="3" t="inlineStr">
        <is>
          <t>HQ capital goods (confirmation of new asset acquisition details required) – Finance Team cooperation needed</t>
        </is>
      </c>
      <c r="P6" s="164">
        <f>E6*92%</f>
        <v/>
      </c>
    </row>
    <row r="7" ht="31.5" customHeight="1" s="165">
      <c r="B7" s="175" t="n"/>
      <c r="C7" s="131" t="n">
        <v>3</v>
      </c>
      <c r="D7" s="85" t="inlineStr">
        <is>
          <t>Fuel and Energy-Related Activities</t>
        </is>
      </c>
      <c r="E7" s="171">
        <f>'Cat 3'!I4</f>
        <v/>
      </c>
      <c r="F7" s="43" t="n"/>
      <c r="N7" s="3" t="inlineStr">
        <is>
          <t>Strategy &amp; Planning Team</t>
        </is>
      </c>
      <c r="O7" s="3" t="n"/>
      <c r="P7" s="164">
        <f>E7*92%</f>
        <v/>
      </c>
    </row>
    <row r="8" ht="31.5" customHeight="1" s="165">
      <c r="B8" s="175" t="n"/>
      <c r="C8" s="131" t="n">
        <v>4</v>
      </c>
      <c r="D8" s="85" t="inlineStr">
        <is>
          <t>Upstream Transportation and Distribution</t>
        </is>
      </c>
      <c r="E8" s="171">
        <f>'Cat 4'!F4</f>
        <v/>
      </c>
      <c r="F8" s="43" t="n"/>
      <c r="H8" s="163" t="inlineStr">
        <is>
          <t>(1) Collection period: 2025 Jan 1 – Dec 31</t>
        </is>
      </c>
      <c r="I8" s="48" t="n"/>
      <c r="J8" s="48" t="n"/>
      <c r="K8" s="48" t="n"/>
      <c r="L8" s="48" t="n"/>
      <c r="N8" s="3" t="inlineStr">
        <is>
          <t>Parts Purchasing Team + Parts Development Team + Subsidiaries + Logistics Center</t>
        </is>
      </c>
      <c r="O8" s="3" t="inlineStr">
        <is>
          <t>HQ related departments cooperation needed for development item details; Logistics Center cooperation needed for subsidiary export items</t>
        </is>
      </c>
      <c r="P8" s="164">
        <f>E8*92%</f>
        <v/>
      </c>
    </row>
    <row r="9" ht="31.5" customHeight="1" s="165">
      <c r="B9" s="175" t="n"/>
      <c r="C9" s="131" t="n">
        <v>5</v>
      </c>
      <c r="D9" s="85" t="inlineStr">
        <is>
          <t>Waste Generated in Operations</t>
        </is>
      </c>
      <c r="E9" s="171">
        <f>'Cat 5'!F4</f>
        <v/>
      </c>
      <c r="F9" s="43" t="n"/>
      <c r="H9" s="48" t="inlineStr">
        <is>
          <t>(2) Calculation basis: Refer to calculation reference sheet</t>
        </is>
      </c>
      <c r="I9" s="48" t="n"/>
      <c r="J9" s="48" t="n"/>
      <c r="K9" s="48" t="n"/>
      <c r="L9" s="48" t="n"/>
      <c r="N9" s="3" t="inlineStr">
        <is>
          <t>Management Team + Subsidiaries</t>
        </is>
      </c>
      <c r="O9" s="3" t="inlineStr">
        <is>
          <t>HQ waste generation data consolidation required – Management Team cooperation needed</t>
        </is>
      </c>
      <c r="P9" s="164">
        <f>E9*92%</f>
        <v/>
      </c>
    </row>
    <row r="10" ht="31.5" customHeight="1" s="165">
      <c r="B10" s="175" t="n"/>
      <c r="C10" s="131" t="n">
        <v>6</v>
      </c>
      <c r="D10" s="85" t="inlineStr">
        <is>
          <t>Business Travel</t>
        </is>
      </c>
      <c r="E10" s="171">
        <f>'Cat 6.7'!F4</f>
        <v/>
      </c>
      <c r="F10" s="43" t="n"/>
      <c r="H10" s="48" t="inlineStr">
        <is>
          <t>(3) Scope of survey: Entire company</t>
        </is>
      </c>
      <c r="I10" s="48" t="n"/>
      <c r="J10" s="48" t="n"/>
      <c r="K10" s="48" t="n"/>
      <c r="L10" s="48" t="n"/>
      <c r="N10" s="3" t="inlineStr">
        <is>
          <t>Management Team</t>
        </is>
      </c>
      <c r="O10" s="3" t="inlineStr">
        <is>
          <t>To be requested to Management Team as future HQ control item</t>
        </is>
      </c>
      <c r="P10" s="164">
        <f>E10*92%</f>
        <v/>
      </c>
    </row>
    <row r="11" ht="31.5" customHeight="1" s="165">
      <c r="B11" s="175" t="n"/>
      <c r="C11" s="131" t="n">
        <v>7</v>
      </c>
      <c r="D11" s="85" t="inlineStr">
        <is>
          <t>Employee Commuting</t>
        </is>
      </c>
      <c r="E11" s="171">
        <f>'Cat 6.7'!H4</f>
        <v/>
      </c>
      <c r="F11" s="43" t="n"/>
      <c r="H11" s="48" t="n"/>
      <c r="I11" s="48" t="n"/>
      <c r="J11" s="48" t="n"/>
      <c r="K11" s="48" t="n"/>
      <c r="L11" s="48" t="n"/>
      <c r="N11" s="3" t="inlineStr">
        <is>
          <t>Management Team</t>
        </is>
      </c>
      <c r="O11" s="3" t="inlineStr">
        <is>
          <t>To be requested to Management Team as future HQ control item</t>
        </is>
      </c>
      <c r="P11" s="164">
        <f>E11*92%</f>
        <v/>
      </c>
    </row>
    <row r="12" ht="31.5" customHeight="1" s="165">
      <c r="B12" s="179" t="n"/>
      <c r="C12" s="105" t="n">
        <v>8</v>
      </c>
      <c r="D12" s="106" t="inlineStr">
        <is>
          <t>Upstream Leased Assets</t>
        </is>
      </c>
      <c r="E12" s="180" t="n"/>
      <c r="F12" s="43" t="inlineStr">
        <is>
          <t>Not Applicable</t>
        </is>
      </c>
      <c r="H12" s="48" t="n"/>
      <c r="I12" s="48" t="n"/>
      <c r="J12" s="48" t="n"/>
      <c r="K12" s="48" t="n"/>
      <c r="L12" s="48" t="n"/>
      <c r="N12" s="3" t="n"/>
      <c r="O12" s="3" t="n"/>
      <c r="P12" s="164">
        <f>E12*92%</f>
        <v/>
      </c>
    </row>
    <row r="13" ht="31.5" customHeight="1" s="165">
      <c r="B13" s="131" t="inlineStr">
        <is>
          <t>Down stream</t>
        </is>
      </c>
      <c r="C13" s="131" t="n">
        <v>9</v>
      </c>
      <c r="D13" s="85" t="inlineStr">
        <is>
          <t>Downstream Transportation and Distribution</t>
        </is>
      </c>
      <c r="E13" s="171">
        <f>'Cat 9'!F4</f>
        <v/>
      </c>
      <c r="F13" s="43" t="n"/>
      <c r="H13" s="48" t="n"/>
      <c r="I13" s="48" t="n"/>
      <c r="J13" s="48" t="n"/>
      <c r="K13" s="48" t="n"/>
      <c r="L13" s="48" t="n"/>
      <c r="N13" s="3" t="inlineStr">
        <is>
          <t>Parts Purchasing Team + Technical Support Team + Subsidiaries</t>
        </is>
      </c>
      <c r="O13" s="3" t="inlineStr">
        <is>
          <t>HQ related department cooperation needed for development item details</t>
        </is>
      </c>
      <c r="P13" s="164">
        <f>E13*92%</f>
        <v/>
      </c>
    </row>
    <row r="14" ht="31.5" customHeight="1" s="165">
      <c r="B14" s="175" t="n"/>
      <c r="C14" s="105" t="n">
        <v>10</v>
      </c>
      <c r="D14" s="106" t="inlineStr">
        <is>
          <t>Processing of Sold Products</t>
        </is>
      </c>
      <c r="E14" s="181" t="n"/>
      <c r="F14" s="43" t="inlineStr">
        <is>
          <t>Not Applicable</t>
        </is>
      </c>
      <c r="H14" s="48" t="n"/>
      <c r="I14" s="48" t="n"/>
      <c r="J14" s="48" t="n"/>
      <c r="K14" s="48" t="n"/>
      <c r="L14" s="48" t="n"/>
    </row>
    <row r="15" ht="31.5" customHeight="1" s="165">
      <c r="B15" s="175" t="n"/>
      <c r="C15" s="105" t="n">
        <v>11</v>
      </c>
      <c r="D15" s="106" t="inlineStr">
        <is>
          <t>Use of Sold Products</t>
        </is>
      </c>
      <c r="E15" s="181" t="n"/>
      <c r="F15" s="43" t="inlineStr">
        <is>
          <t>Not Applicable</t>
        </is>
      </c>
      <c r="H15" s="48" t="n"/>
      <c r="I15" s="48" t="n"/>
      <c r="J15" s="48" t="n"/>
      <c r="K15" s="48" t="n"/>
      <c r="L15" s="48" t="n"/>
      <c r="P15" s="164">
        <f>SUM(P5:P14)</f>
        <v/>
      </c>
    </row>
    <row r="16" ht="31.5" customHeight="1" s="165">
      <c r="B16" s="175" t="n"/>
      <c r="C16" s="105" t="n">
        <v>12</v>
      </c>
      <c r="D16" s="106" t="inlineStr">
        <is>
          <t>End-of-Life Treatment of Sold Products</t>
        </is>
      </c>
      <c r="E16" s="181" t="n"/>
      <c r="F16" s="43" t="inlineStr">
        <is>
          <t>Not Applicable</t>
        </is>
      </c>
      <c r="H16" s="48" t="n"/>
      <c r="I16" s="48" t="n"/>
      <c r="J16" s="48" t="n"/>
      <c r="K16" s="48" t="n"/>
      <c r="L16" s="48" t="n"/>
    </row>
    <row r="17" ht="31.5" customHeight="1" s="165">
      <c r="B17" s="175" t="n"/>
      <c r="C17" s="105" t="n">
        <v>13</v>
      </c>
      <c r="D17" s="106" t="inlineStr">
        <is>
          <t>Downstream Leased Assets</t>
        </is>
      </c>
      <c r="E17" s="181" t="n"/>
      <c r="F17" s="43" t="inlineStr">
        <is>
          <t>Not Applicable</t>
        </is>
      </c>
      <c r="H17" s="48" t="n"/>
      <c r="I17" s="48" t="n"/>
      <c r="J17" s="48" t="n"/>
      <c r="K17" s="48" t="n"/>
      <c r="L17" s="48" t="n"/>
    </row>
    <row r="18" ht="31.5" customHeight="1" s="165">
      <c r="B18" s="175" t="n"/>
      <c r="C18" s="105" t="n">
        <v>14</v>
      </c>
      <c r="D18" s="106" t="inlineStr">
        <is>
          <t>Franchises</t>
        </is>
      </c>
      <c r="E18" s="181" t="n"/>
      <c r="F18" s="43" t="inlineStr">
        <is>
          <t>Not Applicable</t>
        </is>
      </c>
    </row>
    <row r="19" ht="31.5" customHeight="1" s="165">
      <c r="B19" s="179" t="n"/>
      <c r="C19" s="105" t="n">
        <v>15</v>
      </c>
      <c r="D19" s="106" t="inlineStr">
        <is>
          <t>Investments</t>
        </is>
      </c>
      <c r="E19" s="181" t="n"/>
      <c r="F19" s="43" t="inlineStr">
        <is>
          <t>Not Applicable</t>
        </is>
      </c>
    </row>
  </sheetData>
  <mergeCells count="5">
    <mergeCell ref="H5:K6"/>
    <mergeCell ref="H4:K4"/>
    <mergeCell ref="B13:B19"/>
    <mergeCell ref="B4:D4"/>
    <mergeCell ref="B5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T58"/>
  <sheetViews>
    <sheetView showGridLines="0" zoomScale="70" zoomScaleNormal="70" workbookViewId="0">
      <selection activeCell="I32" sqref="I32"/>
    </sheetView>
  </sheetViews>
  <sheetFormatPr baseColWidth="8" defaultRowHeight="13"/>
  <cols>
    <col width="11.9140625" customWidth="1" style="2" min="1" max="1"/>
    <col width="14" bestFit="1" customWidth="1" style="53" min="2" max="2"/>
    <col width="16" customWidth="1" style="2" min="3" max="20"/>
    <col width="8.6640625" customWidth="1" style="2" min="21" max="16384"/>
  </cols>
  <sheetData>
    <row r="1" ht="23.5" customHeight="1" s="165">
      <c r="A1" s="32" t="inlineStr">
        <is>
          <t>◆ SCOPE 3 Carbon Emissions – Cat 1. Purchased Goods and Services</t>
        </is>
      </c>
    </row>
    <row r="3" ht="26.5" customHeight="1" s="165" thickBot="1">
      <c r="A3" s="163" t="inlineStr">
        <is>
          <t>※ Collection period: 2025 Jan 1 – Dec 31</t>
        </is>
      </c>
      <c r="B3" s="54" t="n"/>
      <c r="C3" s="34" t="n"/>
      <c r="F3" s="35" t="inlineStr">
        <is>
          <t>※ Scope 3 Cat 1 Total Emissions</t>
        </is>
      </c>
      <c r="G3" s="31" t="n"/>
    </row>
    <row r="4" ht="26.5" customHeight="1" s="165">
      <c r="A4" s="33" t="inlineStr">
        <is>
          <t>※ Note: Enter annual total weight in kg only → Blue cells</t>
        </is>
      </c>
      <c r="B4" s="54" t="n"/>
      <c r="C4" s="34" t="n"/>
      <c r="F4" s="182">
        <f>T58</f>
        <v/>
      </c>
      <c r="G4" s="183" t="n"/>
    </row>
    <row r="5" ht="26.5" customHeight="1" s="165" thickBot="1">
      <c r="A5" s="33" t="inlineStr">
        <is>
          <t>Enter supplier names as shown in example</t>
        </is>
      </c>
      <c r="B5" s="54" t="n"/>
      <c r="C5" s="34" t="n"/>
      <c r="F5" s="184" t="n"/>
      <c r="G5" s="185" t="n"/>
    </row>
    <row r="6" ht="26.5" customHeight="1" s="165"/>
    <row r="8" ht="23.5" customHeight="1" s="165">
      <c r="E8" s="28" t="inlineStr">
        <is>
          <t>▼ For subsidiaries using PIPE CNC M/C in MIP only – enter total purchased weight regardless of pipe processing type (1st bending / PI or FO process)</t>
        </is>
      </c>
      <c r="J8" s="2" t="inlineStr">
        <is>
          <t>▼</t>
        </is>
      </c>
    </row>
    <row r="9" ht="20.5" customHeight="1" s="165" thickBot="1">
      <c r="C9" s="151" t="inlineStr">
        <is>
          <t>Purchased goods for direct manufacturing: Enter annual total purchased weight (kg)</t>
        </is>
      </c>
      <c r="J9" s="141" t="inlineStr">
        <is>
          <t>Goods purchased from supply chain at part level (incl. SUB): Weight of purchases from top 80% suppliers by revenue (using steel sheet emission factor uniformly)</t>
        </is>
      </c>
      <c r="K9" s="186" t="n"/>
      <c r="L9" s="186" t="n"/>
      <c r="M9" s="186" t="n"/>
      <c r="N9" s="186" t="n"/>
      <c r="O9" s="186" t="n"/>
      <c r="P9" s="186" t="n"/>
      <c r="Q9" s="186" t="n"/>
      <c r="R9" s="186" t="n"/>
    </row>
    <row r="10" ht="36.5" customHeight="1" s="165">
      <c r="A10" s="29" t="inlineStr">
        <is>
          <t>By subsidiary</t>
        </is>
      </c>
      <c r="B10" s="29" t="inlineStr">
        <is>
          <t>Classification</t>
        </is>
      </c>
      <c r="C10" s="29" t="inlineStr">
        <is>
          <t>Steel Sheet (kg)</t>
        </is>
      </c>
      <c r="D10" s="29" t="inlineStr">
        <is>
          <t>Wire (kg)</t>
        </is>
      </c>
      <c r="E10" s="29" t="inlineStr">
        <is>
          <t>Pipe (kg)</t>
        </is>
      </c>
      <c r="F10" s="29" t="inlineStr">
        <is>
          <t>Copper (kg)</t>
        </is>
      </c>
      <c r="G10" s="29" t="inlineStr">
        <is>
          <t>Anti-rust Materials (kg)</t>
        </is>
      </c>
      <c r="H10" s="30" t="inlineStr">
        <is>
          <t>Acids (kg)
[HCl, H2SO4, HNO3, etc.]</t>
        </is>
      </c>
      <c r="I10" s="30" t="inlineStr">
        <is>
          <t>CO2 wire(kg)</t>
        </is>
      </c>
      <c r="J10" s="29" t="inlineStr">
        <is>
          <t>Supply Chain A</t>
        </is>
      </c>
      <c r="K10" s="29" t="inlineStr">
        <is>
          <t>Supply Chain B</t>
        </is>
      </c>
      <c r="L10" s="29" t="inlineStr">
        <is>
          <t>Supply Chain C</t>
        </is>
      </c>
      <c r="M10" s="29" t="inlineStr">
        <is>
          <t>Supply Chain D</t>
        </is>
      </c>
      <c r="N10" s="29" t="inlineStr">
        <is>
          <t>Supply Chain E</t>
        </is>
      </c>
      <c r="O10" s="29" t="inlineStr">
        <is>
          <t>Supply Chain F</t>
        </is>
      </c>
      <c r="P10" s="29" t="inlineStr">
        <is>
          <t>Supply Chain G</t>
        </is>
      </c>
      <c r="Q10" s="29" t="inlineStr">
        <is>
          <t>Supply Chain H</t>
        </is>
      </c>
      <c r="R10" s="29" t="inlineStr">
        <is>
          <t>Supply Chain I</t>
        </is>
      </c>
      <c r="S10" s="59" t="inlineStr">
        <is>
          <t>Emissions
(kgCO2eq)</t>
        </is>
      </c>
      <c r="T10" s="58" t="inlineStr">
        <is>
          <t>Emissions
(tCO2eq)</t>
        </is>
      </c>
    </row>
    <row r="11" ht="17" customHeight="1" s="165">
      <c r="A11" s="152" t="inlineStr">
        <is>
          <t>Emission Factor (Do Not Modify)</t>
        </is>
      </c>
      <c r="B11" s="187" t="n"/>
      <c r="C11" s="188" t="n">
        <v>2.8</v>
      </c>
      <c r="D11" s="189" t="n">
        <v>2.4</v>
      </c>
      <c r="E11" s="189" t="n">
        <v>2</v>
      </c>
      <c r="F11" s="189" t="n">
        <v>3.9</v>
      </c>
      <c r="G11" s="189" t="n">
        <v>0.57</v>
      </c>
      <c r="H11" s="189" t="n">
        <v>0.34</v>
      </c>
      <c r="I11" s="189" t="n">
        <v>2</v>
      </c>
      <c r="J11" s="188" t="n">
        <v>2.8</v>
      </c>
      <c r="K11" s="188" t="n">
        <v>2.8</v>
      </c>
      <c r="L11" s="188" t="n">
        <v>2.8</v>
      </c>
      <c r="M11" s="188" t="n">
        <v>2.8</v>
      </c>
      <c r="N11" s="188" t="n">
        <v>2.8</v>
      </c>
      <c r="O11" s="188" t="n">
        <v>2.8</v>
      </c>
      <c r="P11" s="188" t="n">
        <v>2.8</v>
      </c>
      <c r="Q11" s="188" t="n">
        <v>2.8</v>
      </c>
      <c r="R11" s="188" t="n">
        <v>2.8</v>
      </c>
      <c r="S11" s="10" t="n"/>
      <c r="T11" s="13" t="n"/>
    </row>
    <row r="12" ht="17" customHeight="1" s="165">
      <c r="A12" s="16" t="inlineStr">
        <is>
          <t>ex)</t>
        </is>
      </c>
      <c r="B12" s="16" t="inlineStr">
        <is>
          <t>Supplier Name</t>
        </is>
      </c>
      <c r="C12" s="190" t="inlineStr">
        <is>
          <t>POSCO + Hyundai Steel</t>
        </is>
      </c>
      <c r="D12" s="191" t="inlineStr">
        <is>
          <t>Korea Wire Rod</t>
        </is>
      </c>
      <c r="E12" s="191" t="inlineStr">
        <is>
          <t>Hyundai Steel</t>
        </is>
      </c>
      <c r="F12" s="191" t="inlineStr">
        <is>
          <t>Punggang + Dongtan</t>
        </is>
      </c>
      <c r="G12" s="191" t="inlineStr">
        <is>
          <t>A</t>
        </is>
      </c>
      <c r="H12" s="191" t="inlineStr">
        <is>
          <t>B</t>
        </is>
      </c>
      <c r="I12" s="191" t="inlineStr">
        <is>
          <t>Kiswel</t>
        </is>
      </c>
      <c r="J12" s="190" t="inlineStr">
        <is>
          <t>Daechang Ind.</t>
        </is>
      </c>
      <c r="K12" s="190" t="inlineStr">
        <is>
          <t>Sungil Enterprise</t>
        </is>
      </c>
      <c r="L12" s="190" t="inlineStr">
        <is>
          <t>Logistics Center</t>
        </is>
      </c>
      <c r="M12" s="190" t="n"/>
      <c r="N12" s="190" t="n"/>
      <c r="O12" s="190" t="n"/>
      <c r="P12" s="190" t="n"/>
      <c r="Q12" s="190" t="n"/>
      <c r="R12" s="190" t="n"/>
      <c r="S12" s="22" t="n"/>
      <c r="T12" s="23" t="n"/>
    </row>
    <row r="13" ht="17" customHeight="1" s="165">
      <c r="A13" s="192" t="n"/>
      <c r="B13" s="16" t="inlineStr">
        <is>
          <t>Total Purchased Weight (kg)</t>
        </is>
      </c>
      <c r="C13" s="193" t="n">
        <v>600000</v>
      </c>
      <c r="D13" s="193" t="n">
        <v>300000</v>
      </c>
      <c r="E13" s="193" t="n">
        <v>200000</v>
      </c>
      <c r="F13" s="193" t="n">
        <v>50000</v>
      </c>
      <c r="G13" s="193" t="n">
        <v>500</v>
      </c>
      <c r="H13" s="193" t="n">
        <v>150</v>
      </c>
      <c r="I13" s="193" t="n">
        <v>200</v>
      </c>
      <c r="J13" s="193" t="n">
        <v>800000</v>
      </c>
      <c r="K13" s="193" t="n">
        <v>600000</v>
      </c>
      <c r="L13" s="193" t="n">
        <v>50000</v>
      </c>
      <c r="M13" s="193" t="n"/>
      <c r="N13" s="193" t="n"/>
      <c r="O13" s="193" t="n"/>
      <c r="P13" s="193" t="n"/>
      <c r="Q13" s="193" t="n"/>
      <c r="R13" s="193" t="n"/>
      <c r="S13" s="194">
        <f>SUMPRODUCT($C$11:$R$11,C13:R13)</f>
        <v/>
      </c>
      <c r="T13" s="195">
        <f>S13/1000</f>
        <v/>
      </c>
    </row>
    <row r="14" ht="18.5" customHeight="1" s="165">
      <c r="A14" s="152" t="inlineStr">
        <is>
          <t>Dongtan</t>
        </is>
      </c>
      <c r="B14" s="152" t="inlineStr">
        <is>
          <t>Supplier Name</t>
        </is>
      </c>
      <c r="C14" s="3" t="n"/>
      <c r="D14" s="3" t="n"/>
      <c r="E14" s="3" t="n"/>
      <c r="F14" s="3" t="n"/>
      <c r="G14" s="3" t="n"/>
      <c r="H14" s="3" t="n"/>
      <c r="I14" s="3" t="n"/>
      <c r="J14" s="196">
        <f>'[1]CAT1,CAT4기준 정리'!C22</f>
        <v/>
      </c>
      <c r="K14" s="196">
        <f>'[1]CAT1,CAT4기준 정리'!D22</f>
        <v/>
      </c>
      <c r="L14" s="196">
        <f>'[1]CAT1,CAT4기준 정리'!E22</f>
        <v/>
      </c>
      <c r="M14" s="196">
        <f>'[1]CAT1,CAT4기준 정리'!F22</f>
        <v/>
      </c>
      <c r="N14" s="196">
        <f>'[1]CAT1,CAT4기준 정리'!G22</f>
        <v/>
      </c>
      <c r="O14" s="196">
        <f>'[1]CAT1,CAT4기준 정리'!H22</f>
        <v/>
      </c>
      <c r="P14" s="196">
        <f>'[1]CAT1,CAT4기준 정리'!I22</f>
        <v/>
      </c>
      <c r="Q14" s="196">
        <f>'[1]CAT1,CAT4기준 정리'!J22</f>
        <v/>
      </c>
      <c r="R14" s="196">
        <f>'[1]CAT1,CAT4기준 정리'!K22</f>
        <v/>
      </c>
      <c r="S14" s="10" t="n"/>
      <c r="T14" s="13" t="n"/>
    </row>
    <row r="15" ht="18.5" customHeight="1" s="165">
      <c r="A15" s="192" t="n"/>
      <c r="B15" s="57" t="inlineStr">
        <is>
          <t>Total Purchased Weight</t>
        </is>
      </c>
      <c r="C15" s="25" t="n"/>
      <c r="D15" s="25" t="n"/>
      <c r="E15" s="25" t="n"/>
      <c r="F15" s="25" t="n"/>
      <c r="G15" s="25" t="n"/>
      <c r="H15" s="25" t="n"/>
      <c r="I15" s="25" t="n"/>
      <c r="J15" s="197">
        <f>'[1]CAT1,CAT4기준 정리'!C20</f>
        <v/>
      </c>
      <c r="K15" s="197">
        <f>'[1]CAT1,CAT4기준 정리'!D20</f>
        <v/>
      </c>
      <c r="L15" s="197">
        <f>'[1]CAT1,CAT4기준 정리'!E20</f>
        <v/>
      </c>
      <c r="M15" s="197">
        <f>'[1]CAT1,CAT4기준 정리'!F20</f>
        <v/>
      </c>
      <c r="N15" s="197">
        <f>'[1]CAT1,CAT4기준 정리'!G20</f>
        <v/>
      </c>
      <c r="O15" s="197">
        <f>'[1]CAT1,CAT4기준 정리'!H20</f>
        <v/>
      </c>
      <c r="P15" s="197">
        <f>'[1]CAT1,CAT4기준 정리'!I20</f>
        <v/>
      </c>
      <c r="Q15" s="197">
        <f>'[1]CAT1,CAT4기준 정리'!J20</f>
        <v/>
      </c>
      <c r="R15" s="197">
        <f>'[1]CAT1,CAT4기준 정리'!K20</f>
        <v/>
      </c>
      <c r="S15" s="198">
        <f>SUMPRODUCT($C$11:$R$11,C15:R15)</f>
        <v/>
      </c>
      <c r="T15" s="199">
        <f>S15/1000</f>
        <v/>
      </c>
    </row>
    <row r="16" ht="18.5" customHeight="1" s="165">
      <c r="A16" s="152" t="inlineStr">
        <is>
          <t>Logistics Center</t>
        </is>
      </c>
      <c r="B16" s="152" t="inlineStr">
        <is>
          <t>Supplier Name</t>
        </is>
      </c>
      <c r="C16" s="3" t="n"/>
      <c r="D16" s="3" t="n"/>
      <c r="E16" s="3" t="n"/>
      <c r="F16" s="3" t="n"/>
      <c r="G16" s="3" t="n"/>
      <c r="H16" s="3" t="n"/>
      <c r="I16" s="3" t="n"/>
      <c r="J16" s="3" t="inlineStr">
        <is>
          <t>Myungbo Co., Ltd. (Jeong Seon-yeong)</t>
        </is>
      </c>
      <c r="K16" s="3" t="inlineStr">
        <is>
          <t>DEACHANG SEAT CO.,LTD-GYEONGJU</t>
        </is>
      </c>
      <c r="L16" s="3" t="inlineStr">
        <is>
          <t>Dongkwang Spring (Lee Yong-un)</t>
        </is>
      </c>
      <c r="M16" s="3" t="inlineStr">
        <is>
          <t>[Youngin] DAECHANG SEAT CO.,LTD-YOUNGIN</t>
        </is>
      </c>
      <c r="N16" s="3" t="inlineStr">
        <is>
          <t>Daechang Industry Co., Ltd. (Hong Yeong-jun)</t>
        </is>
      </c>
      <c r="O16" s="3" t="inlineStr">
        <is>
          <t>Bosch Electrical Co., Ltd. (FALLIANO ROLF FRANZ, Jo U-yeon)</t>
        </is>
      </c>
      <c r="P16" s="3" t="inlineStr">
        <is>
          <t>Keyyang Electric Co., Ltd. (Im Yeong-hwan)</t>
        </is>
      </c>
      <c r="Q16" s="3" t="n"/>
      <c r="R16" s="3" t="n"/>
      <c r="S16" s="198" t="n"/>
      <c r="T16" s="199" t="n"/>
    </row>
    <row r="17" ht="18.5" customHeight="1" s="165">
      <c r="A17" s="192" t="n"/>
      <c r="B17" s="57" t="inlineStr">
        <is>
          <t>Total Purchased Weight</t>
        </is>
      </c>
      <c r="C17" s="25" t="n"/>
      <c r="D17" s="25" t="n"/>
      <c r="E17" s="25" t="n"/>
      <c r="F17" s="25" t="n"/>
      <c r="G17" s="25" t="n"/>
      <c r="H17" s="25" t="n"/>
      <c r="I17" s="25" t="n"/>
      <c r="J17" s="25" t="n">
        <v>2377908.582</v>
      </c>
      <c r="K17" s="25" t="n">
        <v>2000595.719999999</v>
      </c>
      <c r="L17" s="25" t="n">
        <v>4021003.209999988</v>
      </c>
      <c r="M17" s="25" t="n">
        <v>1262851.49</v>
      </c>
      <c r="N17" s="25" t="n">
        <v>3778527.670499993</v>
      </c>
      <c r="O17" s="25" t="n">
        <v>881787.0799999987</v>
      </c>
      <c r="P17" s="25" t="n">
        <v>1154708.618</v>
      </c>
      <c r="Q17" s="25" t="n"/>
      <c r="R17" s="25" t="n"/>
      <c r="S17" s="198">
        <f>SUMPRODUCT($C$11:$R$11,C17:R17)</f>
        <v/>
      </c>
      <c r="T17" s="199">
        <f>S17/1000</f>
        <v/>
      </c>
    </row>
    <row r="18" ht="18.5" customHeight="1" s="165">
      <c r="A18" s="152" t="inlineStr">
        <is>
          <t>Gyeongju</t>
        </is>
      </c>
      <c r="B18" s="152" t="inlineStr">
        <is>
          <t>Supplier Name</t>
        </is>
      </c>
      <c r="C18" s="3" t="n"/>
      <c r="D18" s="3" t="n"/>
      <c r="E18" s="3" t="n"/>
      <c r="F18" s="3" t="n"/>
      <c r="G18" s="3" t="n"/>
      <c r="H18" s="3" t="n"/>
      <c r="I18" s="3" t="inlineStr">
        <is>
          <t>Hyundai General Tools</t>
        </is>
      </c>
      <c r="J18" s="3" t="inlineStr">
        <is>
          <t>Sungil Enterprise</t>
        </is>
      </c>
      <c r="K18" s="3" t="inlineStr">
        <is>
          <t>Youngjin Enterprise</t>
        </is>
      </c>
      <c r="L18" s="3" t="inlineStr">
        <is>
          <t>Daechang Ind.</t>
        </is>
      </c>
      <c r="M18" s="3" t="inlineStr">
        <is>
          <t>Sejin Precision</t>
        </is>
      </c>
      <c r="N18" s="3" t="inlineStr">
        <is>
          <t>Sunghyup Industry</t>
        </is>
      </c>
      <c r="O18" s="3" t="inlineStr">
        <is>
          <t>DAS</t>
        </is>
      </c>
      <c r="P18" s="3" t="inlineStr">
        <is>
          <t>Nara M&amp;D</t>
        </is>
      </c>
      <c r="Q18" s="3" t="n"/>
      <c r="R18" s="3" t="n"/>
      <c r="S18" s="198" t="n"/>
      <c r="T18" s="199" t="n"/>
    </row>
    <row r="19" ht="18.5" customHeight="1" s="165">
      <c r="A19" s="192" t="n"/>
      <c r="B19" s="57" t="inlineStr">
        <is>
          <t>Total Purchased Weight</t>
        </is>
      </c>
      <c r="C19" s="200" t="n"/>
      <c r="D19" s="200" t="n"/>
      <c r="E19" s="200" t="n"/>
      <c r="F19" s="200" t="n"/>
      <c r="G19" s="200" t="n"/>
      <c r="H19" s="200" t="n"/>
      <c r="I19" s="200" t="n">
        <v>75890</v>
      </c>
      <c r="J19" s="200" t="n">
        <v>10569005</v>
      </c>
      <c r="K19" s="200" t="n">
        <v>4524922</v>
      </c>
      <c r="L19" s="200" t="n">
        <v>5354446</v>
      </c>
      <c r="M19" s="200" t="n">
        <v>4036326</v>
      </c>
      <c r="N19" s="200" t="n">
        <v>2520627</v>
      </c>
      <c r="O19" s="200" t="n">
        <v>2362992</v>
      </c>
      <c r="P19" s="200" t="n">
        <v>2124020</v>
      </c>
      <c r="Q19" s="25" t="n"/>
      <c r="R19" s="25" t="n"/>
      <c r="S19" s="198">
        <f>SUMPRODUCT($C$11:$R$11,C19:R19)</f>
        <v/>
      </c>
      <c r="T19" s="199">
        <f>S19/1000</f>
        <v/>
      </c>
    </row>
    <row r="20" ht="18.5" customHeight="1" s="165">
      <c r="A20" s="152" t="inlineStr">
        <is>
          <t>Asan</t>
        </is>
      </c>
      <c r="B20" s="152" t="inlineStr">
        <is>
          <t>Supplier Name</t>
        </is>
      </c>
      <c r="C20" s="3" t="n"/>
      <c r="D20" s="3" t="n"/>
      <c r="E20" s="3" t="n"/>
      <c r="F20" s="3" t="n"/>
      <c r="G20" s="3" t="inlineStr">
        <is>
          <t>DH Oil</t>
        </is>
      </c>
      <c r="H20" s="3" t="n"/>
      <c r="I20" s="3" t="inlineStr">
        <is>
          <t>Hyundai General Tools</t>
        </is>
      </c>
      <c r="J20" s="3" t="inlineStr">
        <is>
          <t>Joyang Industry</t>
        </is>
      </c>
      <c r="K20" s="3" t="inlineStr">
        <is>
          <t>Gyeongin Industry</t>
        </is>
      </c>
      <c r="L20" s="3" t="inlineStr">
        <is>
          <t>Hyundai Enterprise</t>
        </is>
      </c>
      <c r="M20" s="3" t="inlineStr">
        <is>
          <t>Seokwang JM</t>
        </is>
      </c>
      <c r="N20" s="3" t="inlineStr">
        <is>
          <t>Gwangmyeong Industry</t>
        </is>
      </c>
      <c r="O20" s="3" t="inlineStr">
        <is>
          <t>Wonyoung Precision</t>
        </is>
      </c>
      <c r="P20" s="3" t="inlineStr">
        <is>
          <t>Michang</t>
        </is>
      </c>
      <c r="Q20" s="3" t="inlineStr">
        <is>
          <t>DK Ostech</t>
        </is>
      </c>
      <c r="R20" s="3" t="inlineStr">
        <is>
          <t>DSC Youngin</t>
        </is>
      </c>
      <c r="S20" s="198" t="n"/>
      <c r="T20" s="199" t="n"/>
    </row>
    <row r="21" ht="18.5" customHeight="1" s="165">
      <c r="A21" s="192" t="n"/>
      <c r="B21" s="57" t="inlineStr">
        <is>
          <t>Total Purchased Weight</t>
        </is>
      </c>
      <c r="C21" s="200" t="n"/>
      <c r="D21" s="200" t="n"/>
      <c r="E21" s="200" t="n"/>
      <c r="F21" s="200" t="n"/>
      <c r="G21" s="200" t="n">
        <v>260</v>
      </c>
      <c r="H21" s="200" t="n"/>
      <c r="I21" s="200" t="n">
        <v>67100</v>
      </c>
      <c r="J21" s="200" t="n">
        <v>128966</v>
      </c>
      <c r="K21" s="200" t="n">
        <v>788543</v>
      </c>
      <c r="L21" s="200" t="n">
        <v>3724367</v>
      </c>
      <c r="M21" s="200" t="n">
        <v>3185098</v>
      </c>
      <c r="N21" s="200" t="n">
        <v>2394358</v>
      </c>
      <c r="O21" s="200" t="n">
        <v>1265199</v>
      </c>
      <c r="P21" s="200" t="n">
        <v>1111500</v>
      </c>
      <c r="Q21" s="200" t="n">
        <v>939648</v>
      </c>
      <c r="R21" s="200" t="n">
        <v>872257</v>
      </c>
      <c r="S21" s="198">
        <f>SUMPRODUCT($C$11:$R$11,C21:R21)</f>
        <v/>
      </c>
      <c r="T21" s="199">
        <f>S21/1000</f>
        <v/>
      </c>
    </row>
    <row r="22" ht="18.5" customHeight="1" s="165">
      <c r="A22" s="152" t="inlineStr">
        <is>
          <t>Gwangju</t>
        </is>
      </c>
      <c r="B22" s="152" t="inlineStr">
        <is>
          <t>Supplier Name</t>
        </is>
      </c>
      <c r="C22" s="3" t="n"/>
      <c r="D22" s="3" t="n"/>
      <c r="E22" s="3" t="n"/>
      <c r="F22" s="3" t="n"/>
      <c r="G22" s="3" t="inlineStr">
        <is>
          <t>Hyundai General Tools</t>
        </is>
      </c>
      <c r="H22" s="3" t="n"/>
      <c r="I22" s="3" t="inlineStr">
        <is>
          <t>Hyundai General Tools</t>
        </is>
      </c>
      <c r="J22" s="3" t="inlineStr">
        <is>
          <t>Michang</t>
        </is>
      </c>
      <c r="K22" s="3" t="inlineStr">
        <is>
          <t>Venture</t>
        </is>
      </c>
      <c r="L22" s="3" t="inlineStr">
        <is>
          <t>Hyundai Spring</t>
        </is>
      </c>
      <c r="M22" s="3" t="inlineStr">
        <is>
          <t>M-Hitech</t>
        </is>
      </c>
      <c r="N22" s="3" t="inlineStr">
        <is>
          <t>Enter Industry</t>
        </is>
      </c>
      <c r="O22" s="3" t="inlineStr">
        <is>
          <t>Osung Electrical</t>
        </is>
      </c>
      <c r="P22" s="3" t="inlineStr">
        <is>
          <t>Nara M&amp;D</t>
        </is>
      </c>
      <c r="Q22" s="3" t="inlineStr">
        <is>
          <t>Hyundai Enterprise</t>
        </is>
      </c>
      <c r="R22" s="3" t="inlineStr">
        <is>
          <t>Sesin</t>
        </is>
      </c>
      <c r="S22" s="198" t="n"/>
      <c r="T22" s="199" t="n"/>
    </row>
    <row r="23" ht="18.5" customHeight="1" s="165">
      <c r="A23" s="192" t="n"/>
      <c r="B23" s="57" t="inlineStr">
        <is>
          <t>Total Purchased Weight</t>
        </is>
      </c>
      <c r="C23" s="25" t="n"/>
      <c r="D23" s="25" t="n"/>
      <c r="E23" s="25" t="n"/>
      <c r="F23" s="25" t="n"/>
      <c r="G23" s="25" t="n">
        <v>510</v>
      </c>
      <c r="H23" s="25" t="n"/>
      <c r="I23" s="200" t="n">
        <v>100200</v>
      </c>
      <c r="J23" s="200" t="n">
        <v>1778305</v>
      </c>
      <c r="K23" s="200" t="n">
        <v>1168221</v>
      </c>
      <c r="L23" s="200" t="n">
        <v>1117534</v>
      </c>
      <c r="M23" s="200" t="n">
        <v>876680</v>
      </c>
      <c r="N23" s="200" t="n">
        <v>713081</v>
      </c>
      <c r="O23" s="200" t="n">
        <v>576100</v>
      </c>
      <c r="P23" s="200" t="n">
        <v>495118</v>
      </c>
      <c r="Q23" s="200" t="n">
        <v>230256</v>
      </c>
      <c r="R23" s="200" t="n">
        <v>120000</v>
      </c>
      <c r="S23" s="198">
        <f>SUMPRODUCT($C$11:$R$11,C23:R23)</f>
        <v/>
      </c>
      <c r="T23" s="199">
        <f>S23/1000</f>
        <v/>
      </c>
    </row>
    <row r="24" ht="18.5" customHeight="1" s="165">
      <c r="A24" s="152" t="inlineStr">
        <is>
          <t>Youngin</t>
        </is>
      </c>
      <c r="B24" s="152" t="inlineStr">
        <is>
          <t>Supplier Name</t>
        </is>
      </c>
      <c r="C24" s="122" t="inlineStr">
        <is>
          <t>DSC Asan, Gukbo Steel</t>
        </is>
      </c>
      <c r="D24" s="152" t="inlineStr">
        <is>
          <t>Gyeongin Industry, Joyang Industry</t>
        </is>
      </c>
      <c r="E24" s="152" t="inlineStr">
        <is>
          <t>Joyang Industry</t>
        </is>
      </c>
      <c r="F24" s="3" t="n"/>
      <c r="G24" s="3" t="n"/>
      <c r="H24" s="3" t="n"/>
      <c r="I24" s="152" t="inlineStr">
        <is>
          <t>Hyundai General Tools</t>
        </is>
      </c>
      <c r="J24" s="152" t="inlineStr">
        <is>
          <t>Seokwang JM</t>
        </is>
      </c>
      <c r="K24" s="152" t="inlineStr">
        <is>
          <t>Hyundai Enterprise</t>
        </is>
      </c>
      <c r="L24" s="152" t="inlineStr">
        <is>
          <t>Wonyoung Precision</t>
        </is>
      </c>
      <c r="M24" s="152" t="inlineStr">
        <is>
          <t>Daehan</t>
        </is>
      </c>
      <c r="N24" s="152" t="inlineStr">
        <is>
          <t>Jangwon Metal</t>
        </is>
      </c>
      <c r="O24" s="152" t="inlineStr">
        <is>
          <t>YS Tech</t>
        </is>
      </c>
      <c r="P24" s="152" t="inlineStr">
        <is>
          <t>Taesung Electrical</t>
        </is>
      </c>
      <c r="Q24" s="3" t="n"/>
      <c r="R24" s="3" t="n"/>
      <c r="S24" s="198" t="n"/>
      <c r="T24" s="199" t="n"/>
    </row>
    <row r="25" ht="18.5" customHeight="1" s="165">
      <c r="A25" s="192" t="n"/>
      <c r="B25" s="57" t="inlineStr">
        <is>
          <t>Total Purchased Weight</t>
        </is>
      </c>
      <c r="C25" s="200" t="n">
        <v>90781</v>
      </c>
      <c r="D25" s="200" t="n">
        <v>692711.7373999999</v>
      </c>
      <c r="E25" s="200" t="n">
        <v>51884.046</v>
      </c>
      <c r="F25" s="25" t="n"/>
      <c r="G25" s="25" t="n"/>
      <c r="H25" s="25" t="n"/>
      <c r="I25" s="200" t="n">
        <v>51300</v>
      </c>
      <c r="J25" s="200" t="n">
        <v>895064.5229999999</v>
      </c>
      <c r="K25" s="200" t="n">
        <v>534885.8779999999</v>
      </c>
      <c r="L25" s="200" t="n">
        <v>410546.4934000001</v>
      </c>
      <c r="M25" s="200" t="n">
        <v>407195.203</v>
      </c>
      <c r="N25" s="200" t="n">
        <v>209664.7653</v>
      </c>
      <c r="O25" s="200" t="n">
        <v>65592.03</v>
      </c>
      <c r="P25" s="200" t="n">
        <v>49909.94</v>
      </c>
      <c r="Q25" s="25" t="n"/>
      <c r="R25" s="25" t="n"/>
      <c r="S25" s="198">
        <f>SUMPRODUCT($C$11:$R$11,C25:R25)</f>
        <v/>
      </c>
      <c r="T25" s="199">
        <f>S25/1000</f>
        <v/>
      </c>
    </row>
    <row r="26" ht="18.5" customHeight="1" s="165">
      <c r="A26" s="152" t="inlineStr">
        <is>
          <t>Beijing</t>
        </is>
      </c>
      <c r="B26" s="152" t="inlineStr">
        <is>
          <t>Supplier Name</t>
        </is>
      </c>
      <c r="C26" s="3" t="inlineStr">
        <is>
          <t>Jori</t>
        </is>
      </c>
      <c r="D26" s="3" t="inlineStr">
        <is>
          <t>Huawei, Huage</t>
        </is>
      </c>
      <c r="E26" s="3" t="inlineStr">
        <is>
          <t>Huawei, Huage, Huayi, Sungkwang</t>
        </is>
      </c>
      <c r="F26" s="3" t="n"/>
      <c r="G26" s="3" t="inlineStr">
        <is>
          <t>Longwantun</t>
        </is>
      </c>
      <c r="H26" s="3" t="inlineStr">
        <is>
          <t>Baihua Ganghua</t>
        </is>
      </c>
      <c r="I26" s="3" t="inlineStr">
        <is>
          <t>Xinfangsheng</t>
        </is>
      </c>
      <c r="J26" s="3" t="inlineStr">
        <is>
          <t>DAS</t>
        </is>
      </c>
      <c r="K26" s="3" t="inlineStr">
        <is>
          <t>Adient</t>
        </is>
      </c>
      <c r="L26" s="3" t="inlineStr">
        <is>
          <t>Mobis</t>
        </is>
      </c>
      <c r="M26" s="3" t="inlineStr">
        <is>
          <t>Keyyang</t>
        </is>
      </c>
      <c r="N26" s="3" t="inlineStr">
        <is>
          <t>Jiu</t>
        </is>
      </c>
      <c r="O26" s="3" t="inlineStr">
        <is>
          <t>Huayi</t>
        </is>
      </c>
      <c r="P26" s="3" t="inlineStr">
        <is>
          <t>Huage</t>
        </is>
      </c>
      <c r="Q26" s="3" t="inlineStr">
        <is>
          <t>Focus</t>
        </is>
      </c>
      <c r="R26" s="3" t="inlineStr">
        <is>
          <t>Huawei</t>
        </is>
      </c>
      <c r="S26" s="198" t="n"/>
      <c r="T26" s="199" t="n"/>
    </row>
    <row r="27" ht="18.5" customHeight="1" s="165">
      <c r="A27" s="192" t="n"/>
      <c r="B27" s="57" t="inlineStr">
        <is>
          <t>Total Purchased Weight</t>
        </is>
      </c>
      <c r="C27" s="25" t="n">
        <v>1856158</v>
      </c>
      <c r="D27" s="25" t="n">
        <v>882000</v>
      </c>
      <c r="E27" s="25" t="n">
        <v>444094</v>
      </c>
      <c r="F27" s="25" t="n"/>
      <c r="G27" s="25" t="n">
        <v>75</v>
      </c>
      <c r="H27" s="25" t="n">
        <v>6</v>
      </c>
      <c r="I27" s="25" t="n">
        <v>50200</v>
      </c>
      <c r="J27" s="25" t="n">
        <v>291939.0030973452</v>
      </c>
      <c r="K27" s="25" t="n">
        <v>126832.7355457227</v>
      </c>
      <c r="L27" s="25" t="n">
        <v>97124.82436578172</v>
      </c>
      <c r="M27" s="25" t="n">
        <v>25370.7796460177</v>
      </c>
      <c r="N27" s="25" t="n">
        <v>811670.8730219611</v>
      </c>
      <c r="O27" s="25" t="n">
        <v>222661.3172222222</v>
      </c>
      <c r="P27" s="25" t="n">
        <v>662708.8352222223</v>
      </c>
      <c r="Q27" s="25" t="n">
        <v>146982.4838888889</v>
      </c>
      <c r="R27" s="25" t="n">
        <v>161823.0827777778</v>
      </c>
      <c r="S27" s="198">
        <f>SUMPRODUCT($C$11:$R$11,C27:R27)</f>
        <v/>
      </c>
      <c r="T27" s="199">
        <f>S27/1000</f>
        <v/>
      </c>
    </row>
    <row r="28" ht="18.5" customHeight="1" s="165">
      <c r="A28" s="152" t="inlineStr">
        <is>
          <t>Yancheng</t>
        </is>
      </c>
      <c r="B28" s="152" t="inlineStr">
        <is>
          <t>Supplier Name</t>
        </is>
      </c>
      <c r="C28" s="3" t="n"/>
      <c r="D28" s="3" t="inlineStr">
        <is>
          <t>九洲+恒明+张弛</t>
        </is>
      </c>
      <c r="E28" s="3" t="inlineStr">
        <is>
          <t>九洲+双菊+韩景</t>
        </is>
      </c>
      <c r="F28" s="3" t="n"/>
      <c r="G28" s="3" t="n"/>
      <c r="H28" s="3" t="n"/>
      <c r="I28" s="3" t="inlineStr">
        <is>
          <t>盐城恒荣</t>
        </is>
      </c>
      <c r="J28" s="3" t="inlineStr">
        <is>
          <t>盐城九洲</t>
        </is>
      </c>
      <c r="K28" s="3" t="inlineStr">
        <is>
          <t>盐城双菊</t>
        </is>
      </c>
      <c r="L28" s="3" t="inlineStr">
        <is>
          <t>盐城恒明</t>
        </is>
      </c>
      <c r="M28" s="3" t="inlineStr">
        <is>
          <t>盐城韩景</t>
        </is>
      </c>
      <c r="N28" s="3" t="inlineStr">
        <is>
          <t>盐城张弛</t>
        </is>
      </c>
      <c r="O28" s="3" t="n"/>
      <c r="P28" s="3" t="n"/>
      <c r="Q28" s="3" t="n"/>
      <c r="R28" s="3" t="n"/>
      <c r="S28" s="198" t="n"/>
      <c r="T28" s="199" t="n"/>
    </row>
    <row r="29" ht="18.5" customHeight="1" s="165">
      <c r="A29" s="192" t="n"/>
      <c r="B29" s="57" t="inlineStr">
        <is>
          <t>Total Purchased Weight</t>
        </is>
      </c>
      <c r="C29" s="25" t="n"/>
      <c r="D29" s="25" t="n">
        <v>763776.925</v>
      </c>
      <c r="E29" s="25" t="n">
        <v>915918.7269</v>
      </c>
      <c r="F29" s="25" t="n"/>
      <c r="G29" s="25" t="n"/>
      <c r="H29" s="25" t="n"/>
      <c r="I29" s="25" t="n">
        <v>57540</v>
      </c>
      <c r="J29" s="25" t="n">
        <v>894855.149</v>
      </c>
      <c r="K29" s="25" t="n">
        <v>252771.5639</v>
      </c>
      <c r="L29" s="25" t="n">
        <v>376207.854</v>
      </c>
      <c r="M29" s="25" t="n">
        <v>53159.483</v>
      </c>
      <c r="N29" s="25" t="n">
        <v>55582.738</v>
      </c>
      <c r="O29" s="25" t="n"/>
      <c r="P29" s="25" t="n"/>
      <c r="Q29" s="25" t="n"/>
      <c r="R29" s="25" t="n"/>
      <c r="S29" s="198">
        <f>SUMPRODUCT($C$11:$R$11,C29:R29)</f>
        <v/>
      </c>
      <c r="T29" s="199">
        <f>S29/1000</f>
        <v/>
      </c>
    </row>
    <row r="30" ht="18.5" customHeight="1" s="165">
      <c r="A30" s="152" t="inlineStr">
        <is>
          <t>Mannur</t>
        </is>
      </c>
      <c r="B30" s="152" t="inlineStr">
        <is>
          <t>Supplier Name</t>
        </is>
      </c>
      <c r="C30" s="3" t="inlineStr">
        <is>
          <t>Hyundai+HTL+MOBIS+Aditya+DAS+DSA+DAGA+INTERNATIONAL+KM SEAT+KPRL+Ranka+REXAN+STEEL+TI</t>
        </is>
      </c>
      <c r="D30" s="3" t="n"/>
      <c r="E30" s="3" t="inlineStr">
        <is>
          <t>HSPI+Automotive Tube+International Tube+KPR</t>
        </is>
      </c>
      <c r="F30" s="3" t="inlineStr">
        <is>
          <t>Metal One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198" t="n"/>
      <c r="T30" s="199" t="n"/>
    </row>
    <row r="31" ht="18.5" customHeight="1" s="165">
      <c r="A31" s="192" t="n"/>
      <c r="B31" s="57" t="inlineStr">
        <is>
          <t>Total Purchased Weight</t>
        </is>
      </c>
      <c r="C31" s="25" t="n">
        <v>10495631</v>
      </c>
      <c r="D31" s="25" t="n"/>
      <c r="E31" s="25" t="n">
        <v>3552674.74</v>
      </c>
      <c r="F31" s="25" t="n">
        <v>26357.415</v>
      </c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198">
        <f>SUMPRODUCT($C$11:$R$11,C31:R31)</f>
        <v/>
      </c>
      <c r="T31" s="199">
        <f>S31/1000</f>
        <v/>
      </c>
    </row>
    <row r="32" ht="18.5" customHeight="1" s="165">
      <c r="A32" s="152" t="inlineStr">
        <is>
          <t>Orgadam</t>
        </is>
      </c>
      <c r="B32" s="152" t="inlineStr">
        <is>
          <t>Supplier Name</t>
        </is>
      </c>
      <c r="C32" s="3" t="inlineStr">
        <is>
          <t>MOBIS INDIA LTD (SUP)+KPR TUBES LLP+Hyundai Steel India Pvt Ltd+Daechang India Seat Co Pvt Ltd Plant I+REXAN STEEL TUBES+Tube Investments of India Ltd</t>
        </is>
      </c>
      <c r="D32" s="3" t="inlineStr">
        <is>
          <t>GLOBAL FE.C FASTENERS+GRAND ENTERPRISES</t>
        </is>
      </c>
      <c r="E32" s="3" t="inlineStr">
        <is>
          <t>KPR TUBES LLP+Hyundai Steel Pipe India Private Limited+Automotive Tubes and Metals+Daechang India Seat Co Pvt Ltd Plant I+International Tubes India Pvt Ltd</t>
        </is>
      </c>
      <c r="F32" s="3" t="inlineStr">
        <is>
          <t>ARIHANTA METAL COMPANY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198" t="n"/>
      <c r="T32" s="199" t="n"/>
    </row>
    <row r="33" ht="18.5" customHeight="1" s="165">
      <c r="A33" s="192" t="n"/>
      <c r="B33" s="57" t="inlineStr">
        <is>
          <t>Total Purchased Weight</t>
        </is>
      </c>
      <c r="C33" s="25" t="n">
        <v>5012651.54</v>
      </c>
      <c r="D33" s="25" t="n">
        <v>928817</v>
      </c>
      <c r="E33" s="25" t="n">
        <v>5246260.68226879</v>
      </c>
      <c r="F33" s="25" t="n">
        <v>25534.95</v>
      </c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198">
        <f>SUMPRODUCT($C$11:$R$11,C33:R33)</f>
        <v/>
      </c>
      <c r="T33" s="199">
        <f>S33/1000</f>
        <v/>
      </c>
    </row>
    <row r="34" ht="18.5" customHeight="1" s="165">
      <c r="A34" s="152" t="inlineStr">
        <is>
          <t>Bangalore</t>
        </is>
      </c>
      <c r="B34" s="152" t="inlineStr">
        <is>
          <t>Supplier Name</t>
        </is>
      </c>
      <c r="C34" s="3" t="inlineStr">
        <is>
          <t>Hyundai steel + market</t>
        </is>
      </c>
      <c r="D34" s="3" t="inlineStr">
        <is>
          <t>General Wire Industries</t>
        </is>
      </c>
      <c r="E34" s="3" t="inlineStr">
        <is>
          <t xml:space="preserve">Hyundai Steel + International Tubes </t>
        </is>
      </c>
      <c r="F34" s="3" t="n"/>
      <c r="G34" s="3" t="n"/>
      <c r="H34" s="3" t="n"/>
      <c r="I34" s="3" t="inlineStr">
        <is>
          <t>pinacle electrode</t>
        </is>
      </c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198" t="n"/>
      <c r="T34" s="199" t="n"/>
    </row>
    <row r="35" ht="18.5" customHeight="1" s="165">
      <c r="A35" s="192" t="n"/>
      <c r="B35" s="57" t="inlineStr">
        <is>
          <t>Total Purchased Weight</t>
        </is>
      </c>
      <c r="C35" s="25" t="n">
        <v>9491410</v>
      </c>
      <c r="D35" s="25" t="n">
        <v>1010034</v>
      </c>
      <c r="E35" s="25" t="n">
        <v>4019585</v>
      </c>
      <c r="F35" s="25" t="n"/>
      <c r="G35" s="25" t="n">
        <v>0</v>
      </c>
      <c r="H35" s="25" t="n">
        <v>0</v>
      </c>
      <c r="I35" s="25" t="n">
        <v>279275</v>
      </c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198">
        <f>SUMPRODUCT($C$11:$R$11,C35:R35)</f>
        <v/>
      </c>
      <c r="T35" s="199">
        <f>S35/1000</f>
        <v/>
      </c>
    </row>
    <row r="36" ht="18.5" customHeight="1" s="165">
      <c r="A36" s="152" t="inlineStr">
        <is>
          <t>Pune</t>
        </is>
      </c>
      <c r="B36" s="152" t="inlineStr">
        <is>
          <t>Supplier Name</t>
        </is>
      </c>
      <c r="C36" s="3" t="n"/>
      <c r="D36" s="3" t="n"/>
      <c r="E36" s="3" t="n"/>
      <c r="F36" s="3" t="n"/>
      <c r="G36" s="3" t="n"/>
      <c r="H36" s="3" t="n"/>
      <c r="I36" s="3" t="n"/>
      <c r="J36" s="7" t="n"/>
      <c r="K36" s="3" t="n"/>
      <c r="L36" s="3" t="n"/>
      <c r="M36" s="3" t="n"/>
      <c r="N36" s="3" t="n"/>
      <c r="O36" s="3" t="n"/>
      <c r="P36" s="3" t="n"/>
      <c r="Q36" s="3" t="n"/>
      <c r="R36" s="3" t="n"/>
      <c r="S36" s="198" t="n"/>
      <c r="T36" s="199" t="n"/>
    </row>
    <row r="37" ht="18.5" customHeight="1" s="165">
      <c r="A37" s="192" t="n"/>
      <c r="B37" s="57" t="inlineStr">
        <is>
          <t>Total Purchased Weight</t>
        </is>
      </c>
      <c r="C37" s="25" t="n"/>
      <c r="D37" s="25" t="n"/>
      <c r="E37" s="25" t="n"/>
      <c r="F37" s="25" t="n"/>
      <c r="G37" s="25" t="n"/>
      <c r="H37" s="25" t="n"/>
      <c r="I37" s="25" t="n"/>
      <c r="J37" s="27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198">
        <f>SUMPRODUCT($C$11:$R$11,C37:R37)</f>
        <v/>
      </c>
      <c r="T37" s="199">
        <f>S37/1000</f>
        <v/>
      </c>
    </row>
    <row r="38" ht="18.5" customHeight="1" s="165">
      <c r="A38" s="152" t="inlineStr">
        <is>
          <t>Trzyniec</t>
        </is>
      </c>
      <c r="B38" s="152" t="inlineStr">
        <is>
          <t>Supplier Name</t>
        </is>
      </c>
      <c r="C38" s="3" t="n"/>
      <c r="D38" s="3" t="n"/>
      <c r="E38" s="3" t="n"/>
      <c r="F38" s="3" t="n"/>
      <c r="G38" s="3" t="n"/>
      <c r="H38" s="3" t="n"/>
      <c r="I38" s="3" t="n"/>
      <c r="J38" s="7" t="n"/>
      <c r="K38" s="3" t="n"/>
      <c r="L38" s="3" t="n"/>
      <c r="M38" s="3" t="n"/>
      <c r="N38" s="3" t="n"/>
      <c r="O38" s="3" t="n"/>
      <c r="P38" s="3" t="n"/>
      <c r="Q38" s="3" t="n"/>
      <c r="R38" s="3" t="n"/>
      <c r="S38" s="198" t="n"/>
      <c r="T38" s="199" t="n"/>
    </row>
    <row r="39" ht="18.5" customHeight="1" s="165">
      <c r="A39" s="192" t="n"/>
      <c r="B39" s="57" t="inlineStr">
        <is>
          <t>Total Purchased Weight</t>
        </is>
      </c>
      <c r="C39" s="25" t="n"/>
      <c r="D39" s="25" t="n"/>
      <c r="E39" s="25" t="n"/>
      <c r="F39" s="25" t="n"/>
      <c r="G39" s="25" t="n"/>
      <c r="H39" s="25" t="n"/>
      <c r="I39" s="25" t="n"/>
      <c r="J39" s="27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198">
        <f>SUMPRODUCT($C$11:$R$11,C39:R39)</f>
        <v/>
      </c>
      <c r="T39" s="199">
        <f>S39/1000</f>
        <v/>
      </c>
    </row>
    <row r="40" ht="18.5" customHeight="1" s="165">
      <c r="A40" s="152" t="inlineStr">
        <is>
          <t>Žilina</t>
        </is>
      </c>
      <c r="B40" s="152" t="inlineStr">
        <is>
          <t>Supplier Name</t>
        </is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198" t="n"/>
      <c r="T40" s="199" t="n"/>
    </row>
    <row r="41" ht="18.5" customHeight="1" s="165">
      <c r="A41" s="192" t="n"/>
      <c r="B41" s="57" t="inlineStr">
        <is>
          <t>Total Purchased Weight</t>
        </is>
      </c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198">
        <f>SUMPRODUCT($C$11:$R$11,C41:R41)</f>
        <v/>
      </c>
      <c r="T41" s="199">
        <f>S41/1000</f>
        <v/>
      </c>
    </row>
    <row r="42" ht="18.5" customHeight="1" s="165">
      <c r="A42" s="152" t="inlineStr">
        <is>
          <t>Bystřice</t>
        </is>
      </c>
      <c r="B42" s="152" t="inlineStr">
        <is>
          <t>Supplier Name</t>
        </is>
      </c>
      <c r="C42" s="3" t="n"/>
      <c r="D42" s="3" t="n"/>
      <c r="E42" s="3" t="n"/>
      <c r="F42" s="3" t="n"/>
      <c r="G42" s="3" t="n"/>
      <c r="H42" s="3" t="n"/>
      <c r="I42" s="3" t="n"/>
      <c r="J42" s="3" t="inlineStr">
        <is>
          <t>KMJ</t>
        </is>
      </c>
      <c r="K42" s="3" t="n"/>
      <c r="L42" s="3" t="n"/>
      <c r="M42" s="3" t="n"/>
      <c r="N42" s="3" t="n"/>
      <c r="O42" s="3" t="n"/>
      <c r="P42" s="3" t="n"/>
      <c r="Q42" s="3" t="n"/>
      <c r="R42" s="3" t="n"/>
      <c r="S42" s="198" t="n"/>
      <c r="T42" s="199" t="n"/>
    </row>
    <row r="43" ht="18.5" customHeight="1" s="165">
      <c r="A43" s="192" t="n"/>
      <c r="B43" s="57" t="inlineStr">
        <is>
          <t>Total Purchased Weight</t>
        </is>
      </c>
      <c r="C43" s="25" t="n">
        <v>15380357</v>
      </c>
      <c r="D43" s="25" t="n"/>
      <c r="E43" s="25" t="n"/>
      <c r="F43" s="25" t="n"/>
      <c r="G43" s="25" t="n"/>
      <c r="H43" s="25" t="n"/>
      <c r="I43" s="25" t="n">
        <v>79500</v>
      </c>
      <c r="J43" s="25" t="n">
        <v>1220688.049</v>
      </c>
      <c r="K43" s="25" t="n"/>
      <c r="L43" s="25" t="n"/>
      <c r="M43" s="25" t="n"/>
      <c r="N43" s="25" t="n"/>
      <c r="O43" s="25" t="n"/>
      <c r="P43" s="25" t="n"/>
      <c r="Q43" s="25" t="n"/>
      <c r="R43" s="25" t="n"/>
      <c r="S43" s="198">
        <f>SUMPRODUCT($C$11:$R$11,C43:R43)</f>
        <v/>
      </c>
      <c r="T43" s="199">
        <f>S43/1000</f>
        <v/>
      </c>
    </row>
    <row r="44" ht="18.5" customHeight="1" s="165">
      <c r="A44" s="152" t="inlineStr">
        <is>
          <t>Lipovice</t>
        </is>
      </c>
      <c r="B44" s="152" t="inlineStr">
        <is>
          <t>Supplier Name</t>
        </is>
      </c>
      <c r="C44" s="3" t="inlineStr">
        <is>
          <t>POSCO + Hyundai Steel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198" t="n"/>
      <c r="T44" s="199" t="n"/>
    </row>
    <row r="45" ht="18.5" customHeight="1" s="165">
      <c r="A45" s="192" t="n"/>
      <c r="B45" s="57" t="inlineStr">
        <is>
          <t>Total Purchased Weight</t>
        </is>
      </c>
      <c r="C45" s="25" t="n">
        <v>3848857</v>
      </c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198">
        <f>SUMPRODUCT($C$11:$R$11,C45:R45)</f>
        <v/>
      </c>
      <c r="T45" s="199">
        <f>S45/1000</f>
        <v/>
      </c>
    </row>
    <row r="46" ht="18.5" customHeight="1" s="165">
      <c r="A46" s="152" t="inlineStr">
        <is>
          <t>Mikulov</t>
        </is>
      </c>
      <c r="B46" s="152" t="inlineStr">
        <is>
          <t>Supplier Name</t>
        </is>
      </c>
      <c r="C46" s="3" t="inlineStr">
        <is>
          <t>Erlingklinger</t>
        </is>
      </c>
      <c r="D46" s="3" t="n"/>
      <c r="E46" s="3" t="n"/>
      <c r="F46" s="3" t="inlineStr">
        <is>
          <t>Magna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198" t="n"/>
      <c r="T46" s="199" t="n"/>
    </row>
    <row r="47" ht="18.5" customHeight="1" s="165">
      <c r="A47" s="192" t="n"/>
      <c r="B47" s="57" t="inlineStr">
        <is>
          <t>Total Purchased Weight</t>
        </is>
      </c>
      <c r="C47" s="25" t="n">
        <v>52748.36699999999</v>
      </c>
      <c r="D47" s="25" t="n"/>
      <c r="E47" s="25" t="n"/>
      <c r="F47" s="25" t="n">
        <v>1209476.687</v>
      </c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198">
        <f>SUMPRODUCT($C$11:$R$11,C47:R47)</f>
        <v/>
      </c>
      <c r="T47" s="199">
        <f>S47/1000</f>
        <v/>
      </c>
    </row>
    <row r="48" ht="18.5" customHeight="1" s="165">
      <c r="A48" s="152" t="inlineStr">
        <is>
          <t>İzmit</t>
        </is>
      </c>
      <c r="B48" s="152" t="inlineStr">
        <is>
          <t>Supplier Name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198" t="n"/>
      <c r="T48" s="199" t="n"/>
    </row>
    <row r="49" ht="18.5" customHeight="1" s="165">
      <c r="A49" s="192" t="n"/>
      <c r="B49" s="57" t="inlineStr">
        <is>
          <t>Total Purchased Weight</t>
        </is>
      </c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198">
        <f>SUMPRODUCT($C$11:$R$11,C49:R49)</f>
        <v/>
      </c>
      <c r="T49" s="199">
        <f>S49/1000</f>
        <v/>
      </c>
    </row>
    <row r="50" ht="18.5" customHeight="1" s="165">
      <c r="A50" s="152" t="inlineStr">
        <is>
          <t>Bekasi</t>
        </is>
      </c>
      <c r="B50" s="152" t="inlineStr">
        <is>
          <t>Supplier Name</t>
        </is>
      </c>
      <c r="C50" s="3" t="inlineStr">
        <is>
          <t>PT.POSCO</t>
        </is>
      </c>
      <c r="D50" s="3" t="inlineStr">
        <is>
          <t>PT MEGA PRATAMA FERINDO</t>
        </is>
      </c>
      <c r="E50" s="3" t="inlineStr">
        <is>
          <t>PT INDONESIA STEEL TUBE WORKS</t>
        </is>
      </c>
      <c r="F50" s="3" t="n"/>
      <c r="G50" s="3" t="inlineStr">
        <is>
          <t>PT SKYLINE GROUP</t>
        </is>
      </c>
      <c r="H50" s="3" t="n"/>
      <c r="I50" s="3" t="inlineStr">
        <is>
          <t>PT AIR LIQUIDE</t>
        </is>
      </c>
      <c r="J50" s="3" t="inlineStr">
        <is>
          <t>Daechang Seat CO,LTD-Dongtan</t>
        </is>
      </c>
      <c r="K50" s="3" t="inlineStr">
        <is>
          <t>HYUNDAI TRANSYS INC</t>
        </is>
      </c>
      <c r="L50" s="3" t="inlineStr">
        <is>
          <t>PT DAE BAEK</t>
        </is>
      </c>
      <c r="M50" s="3" t="inlineStr">
        <is>
          <t>PT. TRI CENTRUM FORTUNA</t>
        </is>
      </c>
      <c r="N50" s="3" t="inlineStr">
        <is>
          <t>PT WOO IN</t>
        </is>
      </c>
      <c r="O50" s="3" t="inlineStr">
        <is>
          <t>PT. SEOUL PRESS INDONESIA</t>
        </is>
      </c>
      <c r="P50" s="3" t="inlineStr">
        <is>
          <t>PT INDONESIA STEEL TUBE WORKS</t>
        </is>
      </c>
      <c r="Q50" s="3" t="n"/>
      <c r="R50" s="3" t="n"/>
      <c r="S50" s="198" t="n"/>
      <c r="T50" s="199" t="n"/>
    </row>
    <row r="51" ht="18.5" customHeight="1" s="165">
      <c r="A51" s="192" t="n"/>
      <c r="B51" s="57" t="inlineStr">
        <is>
          <t>Total Purchased Weight</t>
        </is>
      </c>
      <c r="C51" s="25" t="n">
        <v>645802</v>
      </c>
      <c r="D51" s="25" t="n">
        <v>121994</v>
      </c>
      <c r="E51" s="25" t="n">
        <v>384573.8833208379</v>
      </c>
      <c r="F51" s="25" t="n"/>
      <c r="G51" s="25" t="n">
        <v>1800</v>
      </c>
      <c r="H51" s="25" t="n"/>
      <c r="I51" s="25" t="n">
        <v>63677.5006797016</v>
      </c>
      <c r="J51" s="25" t="n">
        <v>700401</v>
      </c>
      <c r="K51" s="25" t="n">
        <v>121400</v>
      </c>
      <c r="L51" s="25" t="n">
        <v>475960.6751999999</v>
      </c>
      <c r="M51" s="25" t="n">
        <v>373207.4534000001</v>
      </c>
      <c r="N51" s="25" t="n">
        <v>224159.592</v>
      </c>
      <c r="O51" s="25" t="n">
        <v>127269.1355</v>
      </c>
      <c r="P51" s="25" t="n">
        <v>384573.8833208379</v>
      </c>
      <c r="Q51" s="25" t="n"/>
      <c r="R51" s="25" t="n"/>
      <c r="S51" s="198">
        <f>SUMPRODUCT($C$11:$R$11,C51:R51)</f>
        <v/>
      </c>
      <c r="T51" s="199">
        <f>S51/1000</f>
        <v/>
      </c>
    </row>
    <row r="52" ht="18.5" customHeight="1" s="165">
      <c r="A52" s="152" t="inlineStr">
        <is>
          <t>Indiana</t>
        </is>
      </c>
      <c r="B52" s="152" t="inlineStr">
        <is>
          <t>Supplier Name</t>
        </is>
      </c>
      <c r="C52" s="3" t="n"/>
      <c r="D52" s="3" t="inlineStr">
        <is>
          <t>Dongkwang Spring USA</t>
        </is>
      </c>
      <c r="E52" s="3" t="inlineStr">
        <is>
          <t>TROXLE + Hyundai Steel</t>
        </is>
      </c>
      <c r="F52" s="3" t="n"/>
      <c r="G52" s="3" t="n"/>
      <c r="H52" s="3" t="n"/>
      <c r="I52" s="3" t="inlineStr">
        <is>
          <t>Kiswel</t>
        </is>
      </c>
      <c r="J52" s="3" t="inlineStr">
        <is>
          <t>Logistics Center</t>
        </is>
      </c>
      <c r="K52" s="3" t="inlineStr">
        <is>
          <t>TOYOTA BOSHOKU</t>
        </is>
      </c>
      <c r="L52" s="3" t="inlineStr">
        <is>
          <t>DAS</t>
        </is>
      </c>
      <c r="M52" s="3" t="inlineStr">
        <is>
          <t>Hyundai Transys</t>
        </is>
      </c>
      <c r="N52" s="3" t="inlineStr">
        <is>
          <t>IB TECH</t>
        </is>
      </c>
      <c r="O52" s="3" t="n"/>
      <c r="P52" s="3" t="n"/>
      <c r="Q52" s="3" t="n"/>
      <c r="R52" s="3" t="n"/>
      <c r="S52" s="198" t="n"/>
      <c r="T52" s="199" t="n"/>
    </row>
    <row r="53" ht="18.5" customHeight="1" s="165">
      <c r="A53" s="192" t="n"/>
      <c r="B53" s="57" t="inlineStr">
        <is>
          <t>Total Purchased Weight</t>
        </is>
      </c>
      <c r="C53" s="25" t="n"/>
      <c r="D53" s="25" t="n">
        <v>563240.5712199999</v>
      </c>
      <c r="E53" s="25" t="n">
        <v>553743.0308000001</v>
      </c>
      <c r="F53" s="25" t="n"/>
      <c r="G53" s="25" t="n"/>
      <c r="H53" s="25" t="n"/>
      <c r="I53" s="25" t="n">
        <v>54885</v>
      </c>
      <c r="J53" s="25" t="n">
        <v>3108359.9713</v>
      </c>
      <c r="K53" s="25" t="n">
        <v>1409006.37</v>
      </c>
      <c r="L53" s="25" t="n">
        <v>319675.548</v>
      </c>
      <c r="M53" s="25" t="n">
        <v>27760.8886</v>
      </c>
      <c r="N53" s="25" t="n">
        <v>97012.5</v>
      </c>
      <c r="O53" s="25" t="n"/>
      <c r="P53" s="25" t="n"/>
      <c r="Q53" s="25" t="n"/>
      <c r="R53" s="25" t="n"/>
      <c r="S53" s="198">
        <f>SUMPRODUCT($C$11:$R$11,C53:R53)</f>
        <v/>
      </c>
      <c r="T53" s="199">
        <f>S53/1000</f>
        <v/>
      </c>
    </row>
    <row r="54" ht="18.5" customHeight="1" s="165">
      <c r="A54" s="152" t="inlineStr">
        <is>
          <t>Alabama</t>
        </is>
      </c>
      <c r="B54" s="152" t="inlineStr">
        <is>
          <t>Supplier Name</t>
        </is>
      </c>
      <c r="C54" s="3" t="n"/>
      <c r="D54" s="3" t="n"/>
      <c r="E54" s="3" t="n"/>
      <c r="F54" s="3" t="n"/>
      <c r="G54" s="3" t="n"/>
      <c r="H54" s="3" t="n"/>
      <c r="I54" s="3" t="inlineStr">
        <is>
          <t>Kiswel (KISWELL)</t>
        </is>
      </c>
      <c r="J54" s="3" t="inlineStr">
        <is>
          <t>DSC Logistics Center</t>
        </is>
      </c>
      <c r="K54" s="3" t="inlineStr">
        <is>
          <t>UDAS</t>
        </is>
      </c>
      <c r="L54" s="3" t="n"/>
      <c r="M54" s="3" t="n"/>
      <c r="N54" s="3" t="n"/>
      <c r="O54" s="3" t="n"/>
      <c r="P54" s="3" t="n"/>
      <c r="Q54" s="3" t="n"/>
      <c r="R54" s="3" t="n"/>
      <c r="S54" s="198" t="n"/>
      <c r="T54" s="199" t="n"/>
    </row>
    <row r="55" ht="18.5" customHeight="1" s="165">
      <c r="A55" s="192" t="n"/>
      <c r="B55" s="57" t="inlineStr">
        <is>
          <t>Total Purchased Weight</t>
        </is>
      </c>
      <c r="C55" s="25" t="n"/>
      <c r="D55" s="25" t="n"/>
      <c r="E55" s="25" t="n"/>
      <c r="F55" s="25" t="n"/>
      <c r="G55" s="25" t="n"/>
      <c r="H55" s="25" t="n"/>
      <c r="I55" s="25" t="n">
        <v>70452</v>
      </c>
      <c r="J55" s="25" t="n">
        <v>8108898.0775</v>
      </c>
      <c r="K55" s="25" t="n">
        <v>2766979.28</v>
      </c>
      <c r="L55" s="25" t="n"/>
      <c r="M55" s="25" t="n"/>
      <c r="N55" s="25" t="n"/>
      <c r="O55" s="25" t="n"/>
      <c r="P55" s="25" t="n"/>
      <c r="Q55" s="25" t="n"/>
      <c r="R55" s="25" t="n"/>
      <c r="S55" s="198">
        <f>SUMPRODUCT($C$11:$R$11,C55:R55)</f>
        <v/>
      </c>
      <c r="T55" s="199">
        <f>S55/1000</f>
        <v/>
      </c>
    </row>
    <row r="56" ht="18.5" customHeight="1" s="165">
      <c r="A56" s="152" t="inlineStr">
        <is>
          <t>Savannah</t>
        </is>
      </c>
      <c r="B56" s="152" t="inlineStr">
        <is>
          <t>Supplier Name</t>
        </is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198" t="n"/>
      <c r="T56" s="199" t="n"/>
    </row>
    <row r="57" ht="18.5" customHeight="1" s="165">
      <c r="A57" s="192" t="n"/>
      <c r="B57" s="57" t="inlineStr">
        <is>
          <t>Total Purchased Weight</t>
        </is>
      </c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198">
        <f>SUMPRODUCT($C$11:$R$11,C57:R57)</f>
        <v/>
      </c>
      <c r="T57" s="201">
        <f>S57/1000</f>
        <v/>
      </c>
    </row>
    <row r="58" ht="22" customHeight="1" s="165" thickBot="1">
      <c r="A58" s="142" t="inlineStr">
        <is>
          <t>Total</t>
        </is>
      </c>
      <c r="B58" s="187" t="n"/>
      <c r="C58" s="9">
        <f>SUM(C14:C57)</f>
        <v/>
      </c>
      <c r="D58" s="9">
        <f>SUM(D14:D57)</f>
        <v/>
      </c>
      <c r="E58" s="9">
        <f>SUM(E14:E57)</f>
        <v/>
      </c>
      <c r="F58" s="9">
        <f>SUM(F14:F57)</f>
        <v/>
      </c>
      <c r="G58" s="9">
        <f>SUM(G14:G57)</f>
        <v/>
      </c>
      <c r="H58" s="9">
        <f>SUM(H14:H57)</f>
        <v/>
      </c>
      <c r="I58" s="9">
        <f>SUM(I14:I57)</f>
        <v/>
      </c>
      <c r="J58" s="9">
        <f>SUM(J14:J57)</f>
        <v/>
      </c>
      <c r="K58" s="9">
        <f>SUM(K14:K57)</f>
        <v/>
      </c>
      <c r="L58" s="9">
        <f>SUM(L14:L57)</f>
        <v/>
      </c>
      <c r="M58" s="9">
        <f>SUM(M14:M57)</f>
        <v/>
      </c>
      <c r="N58" s="9">
        <f>SUM(N14:N57)</f>
        <v/>
      </c>
      <c r="O58" s="9">
        <f>SUM(O14:O57)</f>
        <v/>
      </c>
      <c r="P58" s="9">
        <f>SUM(P14:P57)</f>
        <v/>
      </c>
      <c r="Q58" s="9">
        <f>SUM(Q14:Q57)</f>
        <v/>
      </c>
      <c r="R58" s="9">
        <f>SUM(R14:R57)</f>
        <v/>
      </c>
      <c r="S58" s="202">
        <f>SUM(S14:S57)</f>
        <v/>
      </c>
      <c r="T58" s="203">
        <f>SUM(T14:T57)</f>
        <v/>
      </c>
    </row>
  </sheetData>
  <mergeCells count="28">
    <mergeCell ref="A48:A49"/>
    <mergeCell ref="A24:A25"/>
    <mergeCell ref="A11:B11"/>
    <mergeCell ref="A36:A37"/>
    <mergeCell ref="A16:A17"/>
    <mergeCell ref="A54:A55"/>
    <mergeCell ref="A50:A51"/>
    <mergeCell ref="A12:A13"/>
    <mergeCell ref="A56:A57"/>
    <mergeCell ref="A26:A27"/>
    <mergeCell ref="A46:A47"/>
    <mergeCell ref="A18:A19"/>
    <mergeCell ref="A14:A15"/>
    <mergeCell ref="A32:A33"/>
    <mergeCell ref="F4:G5"/>
    <mergeCell ref="A22:A23"/>
    <mergeCell ref="A42:A43"/>
    <mergeCell ref="A20:A21"/>
    <mergeCell ref="A44:A45"/>
    <mergeCell ref="A38:A39"/>
    <mergeCell ref="C9:I9"/>
    <mergeCell ref="A34:A35"/>
    <mergeCell ref="A52:A53"/>
    <mergeCell ref="A28:A29"/>
    <mergeCell ref="A40:A41"/>
    <mergeCell ref="A58:B58"/>
    <mergeCell ref="J9:R9"/>
    <mergeCell ref="A30:A31"/>
  </mergeCells>
  <pageMargins left="0.2362204724409449" right="0.2362204724409449" top="0.7480314960629921" bottom="0.3543307086614174" header="0.3149606299212598" footer="0.3149606299212598"/>
  <pageSetup orientation="landscape" paperSize="9" scale="41" fitToHeight="0" verticalDpi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showGridLines="0" zoomScale="70" zoomScaleNormal="70" zoomScaleSheetLayoutView="85" workbookViewId="0">
      <selection activeCell="A5" sqref="A5"/>
    </sheetView>
  </sheetViews>
  <sheetFormatPr baseColWidth="8" defaultRowHeight="13"/>
  <cols>
    <col width="11.9140625" customWidth="1" style="2" min="1" max="1"/>
    <col width="15.6640625" bestFit="1" customWidth="1" style="53" min="2" max="2"/>
    <col width="16" customWidth="1" style="2" min="3" max="8"/>
    <col width="8.6640625" customWidth="1" style="2" min="9" max="10"/>
    <col width="17.75" bestFit="1" customWidth="1" style="2" min="11" max="11"/>
    <col width="11.5" bestFit="1" customWidth="1" style="2" min="12" max="12"/>
    <col width="8.6640625" customWidth="1" style="2" min="13" max="16384"/>
  </cols>
  <sheetData>
    <row r="1" ht="23.5" customHeight="1" s="165">
      <c r="A1" s="32" t="inlineStr">
        <is>
          <t>◆ SCOPE 3 Carbon Emissions – Cat 2. Capital Goods</t>
        </is>
      </c>
    </row>
    <row r="3" ht="26.5" customHeight="1" s="165" thickBot="1">
      <c r="A3" s="163" t="inlineStr">
        <is>
          <t>※ Collection period: 2025 Jan 1 – Dec 31</t>
        </is>
      </c>
      <c r="B3" s="54" t="n"/>
      <c r="C3" s="34" t="n"/>
      <c r="F3" s="35" t="inlineStr">
        <is>
          <t>※ Scope 3 Cat 2 Total Emissions</t>
        </is>
      </c>
      <c r="G3" s="31" t="n"/>
    </row>
    <row r="4" ht="26.5" customHeight="1" s="165">
      <c r="A4" s="33" t="inlineStr">
        <is>
          <t>※ Note: Enter 2025 new purchase amount in units of 100M KRW → Blue cells</t>
        </is>
      </c>
      <c r="B4" s="54" t="n"/>
      <c r="C4" s="34" t="n"/>
      <c r="F4" s="182">
        <f>H35</f>
        <v/>
      </c>
      <c r="G4" s="183" t="n"/>
    </row>
    <row r="5" ht="26.5" customHeight="1" s="165" thickBot="1">
      <c r="A5" s="33" t="inlineStr">
        <is>
          <t>See capital goods classification table for industry sector breakdown</t>
        </is>
      </c>
      <c r="B5" s="54" t="n"/>
      <c r="C5" s="34" t="n"/>
      <c r="F5" s="184" t="n"/>
      <c r="G5" s="185" t="n"/>
    </row>
    <row r="6" ht="26.5" customHeight="1" s="165"/>
    <row r="8" ht="23.5" customHeight="1" s="165">
      <c r="E8" s="28" t="n"/>
    </row>
    <row r="9" ht="20.5" customHeight="1" s="165" thickBot="1">
      <c r="C9" s="151" t="inlineStr">
        <is>
          <t>Separate by industry sector per capital goods classification</t>
        </is>
      </c>
    </row>
    <row r="10" ht="36.5" customHeight="1" s="165">
      <c r="A10" s="29" t="inlineStr">
        <is>
          <t>By subsidiary</t>
        </is>
      </c>
      <c r="B10" s="29" t="inlineStr">
        <is>
          <t>Classification</t>
        </is>
      </c>
      <c r="C10" s="29" t="inlineStr">
        <is>
          <t>General Machinery</t>
        </is>
      </c>
      <c r="D10" s="29" t="inlineStr">
        <is>
          <t>Electrical / Electronic Equipment</t>
        </is>
      </c>
      <c r="E10" s="29" t="inlineStr">
        <is>
          <t>Precision Instruments</t>
        </is>
      </c>
      <c r="F10" s="29" t="inlineStr">
        <is>
          <t>Transportation Equipment</t>
        </is>
      </c>
      <c r="G10" s="29" t="inlineStr">
        <is>
          <t>Construction</t>
        </is>
      </c>
      <c r="H10" s="58" t="inlineStr">
        <is>
          <t>Emissions
(tCO2eq)</t>
        </is>
      </c>
    </row>
    <row r="11" ht="17" customHeight="1" s="165">
      <c r="A11" s="152" t="inlineStr">
        <is>
          <t>Emission Factor (Do Not Modify)</t>
        </is>
      </c>
      <c r="B11" s="187" t="n"/>
      <c r="C11" s="204" t="n">
        <v>14.3</v>
      </c>
      <c r="D11" s="204" t="n">
        <v>7</v>
      </c>
      <c r="E11" s="204" t="n">
        <v>7.6</v>
      </c>
      <c r="F11" s="204" t="n">
        <v>11.7</v>
      </c>
      <c r="G11" s="204" t="n">
        <v>13.2</v>
      </c>
      <c r="H11" s="13" t="n"/>
    </row>
    <row r="12" ht="17" customHeight="1" s="165">
      <c r="A12" s="144" t="inlineStr">
        <is>
          <t>ex)</t>
        </is>
      </c>
      <c r="B12" s="16" t="inlineStr">
        <is>
          <t>FY'24 Total Amount (100M KRW)</t>
        </is>
      </c>
      <c r="C12" s="193" t="n">
        <v>20</v>
      </c>
      <c r="D12" s="193" t="n">
        <v>1</v>
      </c>
      <c r="E12" s="193" t="n">
        <v>1</v>
      </c>
      <c r="F12" s="193" t="n">
        <v>0</v>
      </c>
      <c r="G12" s="193" t="n">
        <v>200</v>
      </c>
      <c r="H12" s="195">
        <f>SUMPRODUCT($C$11:$G$11,C12:G12)</f>
        <v/>
      </c>
      <c r="K12" s="2" t="inlineStr">
        <is>
          <t>▼ Capital Goods Classification</t>
        </is>
      </c>
    </row>
    <row r="13" ht="29" customHeight="1" s="165">
      <c r="A13" s="37" t="inlineStr">
        <is>
          <t>Dongtan</t>
        </is>
      </c>
      <c r="B13" s="57" t="inlineStr">
        <is>
          <t>FY'24 Total Amount</t>
        </is>
      </c>
      <c r="C13" s="205" t="n">
        <v>3.09</v>
      </c>
      <c r="D13" s="205" t="n">
        <v>1.7</v>
      </c>
      <c r="E13" s="205" t="n">
        <v>0</v>
      </c>
      <c r="F13" s="205" t="n">
        <v>0.5</v>
      </c>
      <c r="G13" s="205" t="n"/>
      <c r="H13" s="199">
        <f>SUMPRODUCT($C$11:$G$11,C13:G13)</f>
        <v/>
      </c>
      <c r="K13" s="38" t="inlineStr">
        <is>
          <t>Capital Goods Examples</t>
        </is>
      </c>
      <c r="L13" s="38" t="inlineStr">
        <is>
          <t>Industry Sector</t>
        </is>
      </c>
    </row>
    <row r="14" ht="29" customHeight="1" s="165">
      <c r="A14" s="37" t="inlineStr">
        <is>
          <t>Logistics Center</t>
        </is>
      </c>
      <c r="B14" s="57" t="inlineStr">
        <is>
          <t>FY'24 Total Amount</t>
        </is>
      </c>
      <c r="C14" s="205" t="inlineStr">
        <is>
          <t>-</t>
        </is>
      </c>
      <c r="D14" s="205" t="n">
        <v>0.06</v>
      </c>
      <c r="E14" s="205" t="inlineStr">
        <is>
          <t>-</t>
        </is>
      </c>
      <c r="F14" s="205" t="inlineStr">
        <is>
          <t>-</t>
        </is>
      </c>
      <c r="G14" s="205" t="inlineStr">
        <is>
          <t>-</t>
        </is>
      </c>
      <c r="H14" s="199">
        <f>SUMPRODUCT($C$11:$G$11,C14:G14)</f>
        <v/>
      </c>
      <c r="K14" s="3" t="inlineStr">
        <is>
          <t>Welding Equipment</t>
        </is>
      </c>
      <c r="L14" s="3" t="inlineStr">
        <is>
          <t>General Machinery</t>
        </is>
      </c>
    </row>
    <row r="15" ht="29" customHeight="1" s="165">
      <c r="A15" s="37" t="inlineStr">
        <is>
          <t>Gyeongju</t>
        </is>
      </c>
      <c r="B15" s="57" t="inlineStr">
        <is>
          <t>FY'24 Total Amount</t>
        </is>
      </c>
      <c r="C15" s="205" t="n">
        <v>81.3</v>
      </c>
      <c r="D15" s="205" t="n">
        <v>0.7</v>
      </c>
      <c r="E15" s="205" t="n"/>
      <c r="F15" s="205" t="n">
        <v>1.1</v>
      </c>
      <c r="G15" s="205" t="n"/>
      <c r="H15" s="199">
        <f>SUMPRODUCT($C$11:$G$11,C15:G15)</f>
        <v/>
      </c>
      <c r="K15" s="3" t="inlineStr">
        <is>
          <t>Automation Equipment</t>
        </is>
      </c>
      <c r="L15" s="3" t="inlineStr">
        <is>
          <t>Precision Machinery</t>
        </is>
      </c>
    </row>
    <row r="16" ht="29" customHeight="1" s="165">
      <c r="A16" s="37" t="inlineStr">
        <is>
          <t>Asan</t>
        </is>
      </c>
      <c r="B16" s="57" t="inlineStr">
        <is>
          <t>FY'24 Total Amount</t>
        </is>
      </c>
      <c r="C16" s="205" t="n">
        <v>45.2</v>
      </c>
      <c r="D16" s="205" t="n"/>
      <c r="E16" s="205" t="n">
        <v>1.37</v>
      </c>
      <c r="F16" s="205" t="n">
        <v>0</v>
      </c>
      <c r="G16" s="205" t="n">
        <v>0</v>
      </c>
      <c r="H16" s="199">
        <f>SUMPRODUCT($C$11:$G$11,C16:G16)</f>
        <v/>
      </c>
      <c r="K16" s="3" t="inlineStr">
        <is>
          <t>Press</t>
        </is>
      </c>
      <c r="L16" s="3" t="inlineStr">
        <is>
          <t>General Machinery</t>
        </is>
      </c>
    </row>
    <row r="17" ht="29" customHeight="1" s="165">
      <c r="A17" s="37" t="inlineStr">
        <is>
          <t>Gwangju</t>
        </is>
      </c>
      <c r="B17" s="57" t="inlineStr">
        <is>
          <t>FY'24 Total Amount</t>
        </is>
      </c>
      <c r="C17" s="205" t="n">
        <v>41.9</v>
      </c>
      <c r="D17" s="205" t="n">
        <v>0.2</v>
      </c>
      <c r="E17" s="205" t="n"/>
      <c r="F17" s="205" t="n"/>
      <c r="G17" s="205" t="n">
        <v>10.4</v>
      </c>
      <c r="H17" s="199">
        <f>SUMPRODUCT($C$11:$G$11,C17:G17)</f>
        <v/>
      </c>
      <c r="K17" s="3" t="inlineStr">
        <is>
          <t>Inspection / Measurement Equipment</t>
        </is>
      </c>
      <c r="L17" s="3" t="inlineStr">
        <is>
          <t>Precision Instruments</t>
        </is>
      </c>
    </row>
    <row r="18" ht="29" customHeight="1" s="165">
      <c r="A18" s="37" t="inlineStr">
        <is>
          <t>Youngin</t>
        </is>
      </c>
      <c r="B18" s="57" t="inlineStr">
        <is>
          <t>FY'24 Total Amount</t>
        </is>
      </c>
      <c r="C18" s="205" t="n">
        <v>3.31</v>
      </c>
      <c r="D18" s="205" t="n"/>
      <c r="E18" s="205" t="n"/>
      <c r="F18" s="205" t="n">
        <v>0.2632821</v>
      </c>
      <c r="G18" s="205" t="n"/>
      <c r="H18" s="199">
        <f>SUMPRODUCT($C$11:$G$11,C18:G18)</f>
        <v/>
      </c>
      <c r="K18" s="3" t="inlineStr">
        <is>
          <t>IT Servers, OA Equipment</t>
        </is>
      </c>
      <c r="L18" s="3" t="inlineStr">
        <is>
          <t>Electrical / Electronic Equipment</t>
        </is>
      </c>
    </row>
    <row r="19" ht="29" customHeight="1" s="165">
      <c r="A19" s="37" t="inlineStr">
        <is>
          <t>Beijing</t>
        </is>
      </c>
      <c r="B19" s="57" t="inlineStr">
        <is>
          <t>FY'24 Total Amount</t>
        </is>
      </c>
      <c r="C19" s="205" t="n">
        <v>0.4</v>
      </c>
      <c r="D19" s="205" t="n"/>
      <c r="E19" s="205" t="n"/>
      <c r="F19" s="205" t="n"/>
      <c r="G19" s="205" t="n"/>
      <c r="H19" s="199">
        <f>SUMPRODUCT($C$11:$G$11,C19:G19)</f>
        <v/>
      </c>
      <c r="K19" s="3" t="inlineStr">
        <is>
          <t>Factory Buildings</t>
        </is>
      </c>
      <c r="L19" s="3" t="inlineStr">
        <is>
          <t>Construction</t>
        </is>
      </c>
    </row>
    <row r="20" ht="29" customHeight="1" s="165">
      <c r="A20" s="37" t="inlineStr">
        <is>
          <t>Yancheng</t>
        </is>
      </c>
      <c r="B20" s="57" t="inlineStr">
        <is>
          <t>FY'24 Total Amount</t>
        </is>
      </c>
      <c r="C20" s="205" t="n">
        <v>0.3885</v>
      </c>
      <c r="D20" s="205" t="n">
        <v>0.0751202675</v>
      </c>
      <c r="E20" s="205" t="n">
        <v>0.04244455</v>
      </c>
      <c r="F20" s="205" t="n"/>
      <c r="G20" s="205" t="n"/>
      <c r="H20" s="199">
        <f>SUMPRODUCT($C$11:$G$11,C20:G20)</f>
        <v/>
      </c>
      <c r="K20" s="3" t="inlineStr">
        <is>
          <t>Forklift</t>
        </is>
      </c>
      <c r="L20" s="3" t="inlineStr">
        <is>
          <t>Transportation Equipment</t>
        </is>
      </c>
    </row>
    <row r="21" ht="29" customHeight="1" s="165">
      <c r="A21" s="37" t="inlineStr">
        <is>
          <t>Mannur</t>
        </is>
      </c>
      <c r="B21" s="57" t="inlineStr">
        <is>
          <t>FY'24 Total Amount</t>
        </is>
      </c>
      <c r="C21" s="205" t="n">
        <v>14.272713766896</v>
      </c>
      <c r="D21" s="205" t="n"/>
      <c r="E21" s="205" t="n">
        <v>2.116941170288</v>
      </c>
      <c r="F21" s="205" t="n"/>
      <c r="G21" s="205" t="n"/>
      <c r="H21" s="199">
        <f>SUMPRODUCT($C$11:$G$11,C21:G21)</f>
        <v/>
      </c>
      <c r="K21" s="3" t="inlineStr">
        <is>
          <t>Other (not listed above)</t>
        </is>
      </c>
      <c r="L21" s="3" t="inlineStr">
        <is>
          <t>General Machinery</t>
        </is>
      </c>
    </row>
    <row r="22" ht="29" customHeight="1" s="165">
      <c r="A22" s="37" t="inlineStr">
        <is>
          <t>Orgadam</t>
        </is>
      </c>
      <c r="B22" s="57" t="inlineStr">
        <is>
          <t>FY'24 Total Amount</t>
        </is>
      </c>
      <c r="C22" s="205" t="n">
        <v>22.54818581419667</v>
      </c>
      <c r="D22" s="205" t="n">
        <v>0.1352000336</v>
      </c>
      <c r="E22" s="205" t="n">
        <v>11.1370280832</v>
      </c>
      <c r="F22" s="205" t="n"/>
      <c r="G22" s="205" t="n"/>
      <c r="H22" s="199">
        <f>SUMPRODUCT($C$11:$G$11,C22:G22)</f>
        <v/>
      </c>
    </row>
    <row r="23" ht="29" customHeight="1" s="165">
      <c r="A23" s="37" t="inlineStr">
        <is>
          <t>Bangalore</t>
        </is>
      </c>
      <c r="B23" s="57" t="inlineStr">
        <is>
          <t>FY'24 Total Amount</t>
        </is>
      </c>
      <c r="C23" s="205" t="n">
        <v>156.94751344</v>
      </c>
      <c r="D23" s="205" t="n">
        <v>1.37170064</v>
      </c>
      <c r="E23" s="205" t="n"/>
      <c r="F23" s="205" t="n">
        <v>0.6308768</v>
      </c>
      <c r="G23" s="205" t="n"/>
      <c r="H23" s="199">
        <f>SUMPRODUCT($C$11:$G$11,C23:G23)</f>
        <v/>
      </c>
    </row>
    <row r="24" ht="29" customHeight="1" s="165">
      <c r="A24" s="37" t="inlineStr">
        <is>
          <t>Pune</t>
        </is>
      </c>
      <c r="B24" s="57" t="inlineStr">
        <is>
          <t>FY'24 Total Amount</t>
        </is>
      </c>
      <c r="C24" s="25" t="n"/>
      <c r="D24" s="25" t="n"/>
      <c r="E24" s="25" t="n"/>
      <c r="F24" s="25" t="n"/>
      <c r="G24" s="25" t="n"/>
      <c r="H24" s="199">
        <f>SUMPRODUCT($C$11:$G$11,C24:G24)</f>
        <v/>
      </c>
    </row>
    <row r="25" ht="29" customHeight="1" s="165">
      <c r="A25" s="37" t="inlineStr">
        <is>
          <t>Trzyniec</t>
        </is>
      </c>
      <c r="B25" s="57" t="inlineStr">
        <is>
          <t>FY'24 Total Amount</t>
        </is>
      </c>
      <c r="C25" s="25" t="n"/>
      <c r="D25" s="25" t="n"/>
      <c r="E25" s="25" t="n"/>
      <c r="F25" s="25" t="n"/>
      <c r="G25" s="25" t="n"/>
      <c r="H25" s="199">
        <f>SUMPRODUCT($C$11:$G$11,C25:G25)</f>
        <v/>
      </c>
    </row>
    <row r="26" ht="29" customHeight="1" s="165">
      <c r="A26" s="37" t="inlineStr">
        <is>
          <t>Žilina</t>
        </is>
      </c>
      <c r="B26" s="57" t="inlineStr">
        <is>
          <t>FY'24 Total Amount</t>
        </is>
      </c>
      <c r="C26" s="25" t="n"/>
      <c r="D26" s="25" t="n"/>
      <c r="E26" s="25" t="n"/>
      <c r="F26" s="25" t="n"/>
      <c r="G26" s="25" t="n"/>
      <c r="H26" s="199">
        <f>SUMPRODUCT($C$11:$G$11,C26:G26)</f>
        <v/>
      </c>
    </row>
    <row r="27" ht="29" customHeight="1" s="165">
      <c r="A27" s="37" t="inlineStr">
        <is>
          <t>Bystřice</t>
        </is>
      </c>
      <c r="B27" s="57" t="inlineStr">
        <is>
          <t>FY'24 Total Amount</t>
        </is>
      </c>
      <c r="C27" s="205" t="n">
        <v>49.354256304</v>
      </c>
      <c r="D27" s="205" t="n"/>
      <c r="E27" s="205" t="n"/>
      <c r="F27" s="205" t="n"/>
      <c r="G27" s="205" t="n">
        <v>0.6907071560000001</v>
      </c>
      <c r="H27" s="199">
        <f>SUMPRODUCT($C$11:$G$11,C27:G27)</f>
        <v/>
      </c>
    </row>
    <row r="28" ht="29" customHeight="1" s="165">
      <c r="A28" s="37" t="inlineStr">
        <is>
          <t>Lipovice</t>
        </is>
      </c>
      <c r="B28" s="57" t="inlineStr">
        <is>
          <t>FY'24 Total Amount</t>
        </is>
      </c>
      <c r="C28" s="25" t="n"/>
      <c r="D28" s="25" t="n"/>
      <c r="E28" s="25" t="n"/>
      <c r="F28" s="25" t="n"/>
      <c r="G28" s="25" t="n"/>
      <c r="H28" s="199">
        <f>SUMPRODUCT($C$11:$G$11,C28:G28)</f>
        <v/>
      </c>
    </row>
    <row r="29" ht="29" customHeight="1" s="165">
      <c r="A29" s="37" t="inlineStr">
        <is>
          <t>Mikulov</t>
        </is>
      </c>
      <c r="B29" s="57" t="inlineStr">
        <is>
          <t>FY'24 Total Amount</t>
        </is>
      </c>
      <c r="C29" s="25" t="n">
        <v>33.40909618</v>
      </c>
      <c r="D29" s="25" t="n"/>
      <c r="E29" s="25" t="n"/>
      <c r="F29" s="25" t="n"/>
      <c r="G29" s="25" t="n"/>
      <c r="H29" s="199">
        <f>SUMPRODUCT($C$11:$G$11,C29:G29)</f>
        <v/>
      </c>
    </row>
    <row r="30" ht="29" customHeight="1" s="165">
      <c r="A30" s="37" t="inlineStr">
        <is>
          <t>İzmit</t>
        </is>
      </c>
      <c r="B30" s="57" t="inlineStr">
        <is>
          <t>FY'24 Total Amount</t>
        </is>
      </c>
      <c r="C30" s="25" t="n"/>
      <c r="D30" s="25" t="n"/>
      <c r="E30" s="25" t="n"/>
      <c r="F30" s="25" t="n"/>
      <c r="G30" s="25" t="n"/>
      <c r="H30" s="199">
        <f>SUMPRODUCT($C$11:$G$11,C30:G30)</f>
        <v/>
      </c>
    </row>
    <row r="31" ht="29" customHeight="1" s="165">
      <c r="A31" s="37" t="inlineStr">
        <is>
          <t>Bekasi</t>
        </is>
      </c>
      <c r="B31" s="57" t="inlineStr">
        <is>
          <t>FY'24 Total Amount</t>
        </is>
      </c>
      <c r="C31" s="205" t="n">
        <v>0.209645498984</v>
      </c>
      <c r="D31" s="205" t="n">
        <v>0.0019776</v>
      </c>
      <c r="E31" s="205" t="n">
        <v>0.0081016</v>
      </c>
      <c r="F31" s="205" t="n"/>
      <c r="G31" s="205" t="n">
        <v>51.3208</v>
      </c>
      <c r="H31" s="199">
        <f>SUMPRODUCT($C$11:$G$11,C31:G31)</f>
        <v/>
      </c>
    </row>
    <row r="32" ht="29" customHeight="1" s="165">
      <c r="A32" s="37" t="inlineStr">
        <is>
          <t>Indiana</t>
        </is>
      </c>
      <c r="B32" s="57" t="inlineStr">
        <is>
          <t>FY'24 Total Amount</t>
        </is>
      </c>
      <c r="C32" s="205" t="n">
        <v>1.05811043</v>
      </c>
      <c r="D32" s="205" t="n">
        <v>0.04473404</v>
      </c>
      <c r="E32" s="205" t="n"/>
      <c r="F32" s="205" t="n">
        <v>0.9558744</v>
      </c>
      <c r="G32" s="205" t="n">
        <v>0.976118</v>
      </c>
      <c r="H32" s="199">
        <f>SUMPRODUCT($C$11:$G$11,C32:G32)</f>
        <v/>
      </c>
    </row>
    <row r="33" ht="29" customHeight="1" s="165">
      <c r="A33" s="37" t="inlineStr">
        <is>
          <t>Alabama</t>
        </is>
      </c>
      <c r="B33" s="57" t="inlineStr">
        <is>
          <t>FY'24 Total Amount</t>
        </is>
      </c>
      <c r="C33" s="25" t="n">
        <v>68</v>
      </c>
      <c r="D33" s="25" t="n">
        <v>12</v>
      </c>
      <c r="E33" s="25" t="n"/>
      <c r="F33" s="25" t="n"/>
      <c r="G33" s="25" t="n"/>
      <c r="H33" s="199">
        <f>SUMPRODUCT($C$11:$G$11,C33:G33)</f>
        <v/>
      </c>
    </row>
    <row r="34" ht="29" customHeight="1" s="165">
      <c r="A34" s="37" t="inlineStr">
        <is>
          <t>Savannah</t>
        </is>
      </c>
      <c r="B34" s="57" t="inlineStr">
        <is>
          <t>FY'24 Total Amount</t>
        </is>
      </c>
      <c r="C34" s="25" t="n">
        <v>25.75</v>
      </c>
      <c r="D34" s="25" t="n"/>
      <c r="E34" s="25" t="n">
        <v>64.86</v>
      </c>
      <c r="F34" s="25" t="n"/>
      <c r="G34" s="25" t="n"/>
      <c r="H34" s="201">
        <f>SUMPRODUCT($C$11:$G$11,C34:G34)</f>
        <v/>
      </c>
    </row>
    <row r="35" ht="22" customHeight="1" s="165" thickBot="1">
      <c r="A35" s="142" t="inlineStr">
        <is>
          <t>Total</t>
        </is>
      </c>
      <c r="B35" s="187" t="n"/>
      <c r="C35" s="9">
        <f>SUM(C13:C34)</f>
        <v/>
      </c>
      <c r="D35" s="9">
        <f>SUM(D13:D34)</f>
        <v/>
      </c>
      <c r="E35" s="9">
        <f>SUM(E13:E34)</f>
        <v/>
      </c>
      <c r="F35" s="9">
        <f>SUM(F13:F34)</f>
        <v/>
      </c>
      <c r="G35" s="9">
        <f>SUM(G13:G34)</f>
        <v/>
      </c>
      <c r="H35" s="203">
        <f>SUM(H13:H34)</f>
        <v/>
      </c>
    </row>
  </sheetData>
  <mergeCells count="4">
    <mergeCell ref="A11:B11"/>
    <mergeCell ref="C9:G9"/>
    <mergeCell ref="F4:G5"/>
    <mergeCell ref="A35:B35"/>
  </mergeCells>
  <pageMargins left="0.2362204724409449" right="0.2362204724409449" top="0.7480314960629921" bottom="0.3543307086614174" header="0.3149606299212598" footer="0.3149606299212598"/>
  <pageSetup orientation="landscape" paperSize="9" fitToHeight="0" verticalDpi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3"/>
  <sheetViews>
    <sheetView showGridLines="0" zoomScale="70" zoomScaleNormal="70" workbookViewId="0">
      <selection activeCell="A5" sqref="A5"/>
    </sheetView>
  </sheetViews>
  <sheetFormatPr baseColWidth="8" defaultRowHeight="13"/>
  <cols>
    <col width="11.9140625" customWidth="1" style="2" min="1" max="1"/>
    <col width="12.58203125" bestFit="1" customWidth="1" style="53" min="2" max="2"/>
    <col width="16" customWidth="1" style="2" min="3" max="11"/>
    <col width="8.6640625" customWidth="1" style="2" min="12" max="13"/>
    <col width="17.75" bestFit="1" customWidth="1" style="2" min="14" max="14"/>
    <col width="11.5" bestFit="1" customWidth="1" style="2" min="15" max="15"/>
    <col width="8.6640625" customWidth="1" style="2" min="16" max="16384"/>
  </cols>
  <sheetData>
    <row r="1" ht="23.5" customHeight="1" s="165">
      <c r="A1" s="32" t="inlineStr">
        <is>
          <t>◆ SCOPE 3 Carbon Emissions – Cat 3. Fuel and Energy-Related Activities [Strategy &amp; Planning Team to complete collectively]</t>
        </is>
      </c>
    </row>
    <row r="3" ht="26.5" customHeight="1" s="165" thickBot="1">
      <c r="A3" s="163" t="inlineStr">
        <is>
          <t>※ Collection period: 2025 Jan 1 – Dec 31</t>
        </is>
      </c>
      <c r="B3" s="54" t="n"/>
      <c r="C3" s="34" t="n"/>
      <c r="I3" s="35" t="inlineStr">
        <is>
          <t>※ Scope 3 Cat 3 Total Emissions</t>
        </is>
      </c>
      <c r="J3" s="31" t="n"/>
    </row>
    <row r="4" ht="26.5" customHeight="1" s="165">
      <c r="A4" s="33" t="inlineStr">
        <is>
          <t>※ Note: Enter 2025 aggregated values in kg → Blue cells</t>
        </is>
      </c>
      <c r="B4" s="54" t="n"/>
      <c r="C4" s="34" t="n"/>
      <c r="I4" s="182">
        <f>K33</f>
        <v/>
      </c>
      <c r="J4" s="183" t="n"/>
    </row>
    <row r="5" ht="26.5" customHeight="1" s="165" thickBot="1">
      <c r="A5" s="33" t="n"/>
      <c r="B5" s="54" t="n"/>
      <c r="C5" s="34" t="n"/>
      <c r="I5" s="184" t="n"/>
      <c r="J5" s="185" t="n"/>
    </row>
    <row r="6" ht="26.5" customHeight="1" s="165"/>
    <row r="8" ht="23.5" customHeight="1" s="165" thickBot="1">
      <c r="E8" s="28" t="n"/>
      <c r="F8" s="28" t="n"/>
      <c r="G8" s="28" t="n"/>
      <c r="H8" s="28" t="n"/>
    </row>
    <row r="9" ht="36.5" customHeight="1" s="165">
      <c r="A9" s="29" t="inlineStr">
        <is>
          <t>By subsidiary</t>
        </is>
      </c>
      <c r="B9" s="29" t="inlineStr">
        <is>
          <t>Classification</t>
        </is>
      </c>
      <c r="C9" s="29" t="inlineStr">
        <is>
          <t>Electricity</t>
        </is>
      </c>
      <c r="D9" s="29" t="inlineStr">
        <is>
          <t>Diesel</t>
        </is>
      </c>
      <c r="E9" s="29" t="inlineStr">
        <is>
          <t>Kerosene</t>
        </is>
      </c>
      <c r="F9" s="29" t="inlineStr">
        <is>
          <t>Gasoline</t>
        </is>
      </c>
      <c r="G9" s="29" t="inlineStr">
        <is>
          <t>Steam</t>
        </is>
      </c>
      <c r="H9" s="29" t="inlineStr">
        <is>
          <t>LPG</t>
        </is>
      </c>
      <c r="I9" s="29" t="inlineStr">
        <is>
          <t>Natural Gas</t>
        </is>
      </c>
      <c r="J9" s="29" t="inlineStr">
        <is>
          <t>Welding CO2 Gas</t>
        </is>
      </c>
      <c r="K9" s="58" t="inlineStr">
        <is>
          <t>Emissions
(tCO2eq)</t>
        </is>
      </c>
    </row>
    <row r="10" ht="17" customHeight="1" s="165">
      <c r="A10" s="152" t="inlineStr">
        <is>
          <t>Emission Factor (Do Not Modify)</t>
        </is>
      </c>
      <c r="B10" s="187" t="n"/>
      <c r="C10" s="206" t="n">
        <v>0.495106716</v>
      </c>
      <c r="D10" s="207" t="n">
        <v>0.06819436600000001</v>
      </c>
      <c r="E10" s="207" t="n">
        <v>0.252941657</v>
      </c>
      <c r="F10" s="207" t="n">
        <v>0.083169967</v>
      </c>
      <c r="G10" s="188" t="n">
        <v>0.042124019</v>
      </c>
      <c r="H10" s="188" t="n">
        <v>0.393616042</v>
      </c>
      <c r="I10" s="208" t="n">
        <v>0.272338714</v>
      </c>
      <c r="J10" s="188" t="n">
        <v>0.13</v>
      </c>
      <c r="K10" s="13" t="n"/>
    </row>
    <row r="11" ht="29" customHeight="1" s="165">
      <c r="A11" s="37" t="inlineStr">
        <is>
          <t>Dongtan</t>
        </is>
      </c>
      <c r="B11" s="57" t="inlineStr">
        <is>
          <t>FY'24 Total Consumption</t>
        </is>
      </c>
      <c r="C11" s="25" t="n">
        <v>1363334</v>
      </c>
      <c r="D11" s="25" t="n">
        <v>2245.709</v>
      </c>
      <c r="E11" s="25" t="n"/>
      <c r="F11" s="25" t="n">
        <v>8721.431</v>
      </c>
      <c r="G11" s="25" t="n"/>
      <c r="H11" s="25" t="n">
        <v>160</v>
      </c>
      <c r="I11" s="25" t="n">
        <v>4626.836</v>
      </c>
      <c r="J11" s="25" t="n">
        <v>902.764</v>
      </c>
      <c r="K11" s="67">
        <f>SUMPRODUCT($C$10:$J$10,C11:J11)/1000</f>
        <v/>
      </c>
    </row>
    <row r="12" ht="29" customHeight="1" s="165">
      <c r="A12" s="37" t="inlineStr">
        <is>
          <t>Logistics Center</t>
        </is>
      </c>
      <c r="B12" s="57" t="inlineStr">
        <is>
          <t>FY'24 Total Consumption</t>
        </is>
      </c>
      <c r="C12" s="25" t="n">
        <v>210557</v>
      </c>
      <c r="D12" s="25" t="n">
        <v>5827.492</v>
      </c>
      <c r="E12" s="25" t="n">
        <v>1351.784</v>
      </c>
      <c r="F12" s="25" t="n">
        <v>964.877</v>
      </c>
      <c r="G12" s="25" t="n"/>
      <c r="H12" s="25" t="n"/>
      <c r="I12" s="25" t="n"/>
      <c r="J12" s="25" t="n"/>
      <c r="K12" s="67">
        <f>SUMPRODUCT($C$10:$J$10,C12:J12)/1000</f>
        <v/>
      </c>
    </row>
    <row r="13" ht="29" customHeight="1" s="165">
      <c r="A13" s="37" t="inlineStr">
        <is>
          <t>Gyeongju</t>
        </is>
      </c>
      <c r="B13" s="57" t="inlineStr">
        <is>
          <t>FY'24 Total Consumption</t>
        </is>
      </c>
      <c r="C13" s="25" t="n">
        <v>8639651</v>
      </c>
      <c r="D13" s="25" t="n">
        <v>6336.122</v>
      </c>
      <c r="E13" s="25" t="n"/>
      <c r="F13" s="25" t="n">
        <v>3628.68</v>
      </c>
      <c r="G13" s="25" t="n"/>
      <c r="H13" s="25" t="n">
        <v>3682</v>
      </c>
      <c r="I13" s="25" t="n">
        <v>115290.624</v>
      </c>
      <c r="J13" s="25" t="n">
        <v>37732.8</v>
      </c>
      <c r="K13" s="67">
        <f>SUMPRODUCT($C$10:$J$10,C13:J13)/1000</f>
        <v/>
      </c>
    </row>
    <row r="14" ht="29" customHeight="1" s="165">
      <c r="A14" s="37" t="inlineStr">
        <is>
          <t>Asan</t>
        </is>
      </c>
      <c r="B14" s="57" t="inlineStr">
        <is>
          <t>FY'24 Total Consumption</t>
        </is>
      </c>
      <c r="C14" s="25" t="n">
        <v>3972589</v>
      </c>
      <c r="D14" s="25" t="n">
        <v>12024.745</v>
      </c>
      <c r="E14" s="25" t="n">
        <v>12744.93</v>
      </c>
      <c r="F14" s="25" t="n">
        <v>1558.647</v>
      </c>
      <c r="G14" s="25" t="n"/>
      <c r="H14" s="25" t="n">
        <v>1579</v>
      </c>
      <c r="I14" s="25" t="n"/>
      <c r="J14" s="25" t="n">
        <v>236557</v>
      </c>
      <c r="K14" s="67">
        <f>SUMPRODUCT($C$10:$J$10,C14:J14)/1000</f>
        <v/>
      </c>
    </row>
    <row r="15" ht="29" customHeight="1" s="165">
      <c r="A15" s="37" t="inlineStr">
        <is>
          <t>Gwangju</t>
        </is>
      </c>
      <c r="B15" s="57" t="inlineStr">
        <is>
          <t>FY'24 Total Consumption</t>
        </is>
      </c>
      <c r="C15" s="25" t="n">
        <v>2151838</v>
      </c>
      <c r="D15" s="25" t="n">
        <v>3468.7</v>
      </c>
      <c r="E15" s="25" t="n"/>
      <c r="F15" s="25" t="n">
        <v>1892.643</v>
      </c>
      <c r="G15" s="25" t="n"/>
      <c r="H15" s="25" t="n">
        <v>3326.569</v>
      </c>
      <c r="I15" s="25" t="n"/>
      <c r="J15" s="25" t="n">
        <v>72038.772</v>
      </c>
      <c r="K15" s="67">
        <f>SUMPRODUCT($C$10:$J$10,C15:J15)/1000</f>
        <v/>
      </c>
    </row>
    <row r="16" ht="29" customHeight="1" s="165">
      <c r="A16" s="37" t="inlineStr">
        <is>
          <t>Youngin</t>
        </is>
      </c>
      <c r="B16" s="57" t="inlineStr">
        <is>
          <t>FY'24 Total Consumption</t>
        </is>
      </c>
      <c r="C16" s="25" t="n">
        <v>2042003</v>
      </c>
      <c r="D16" s="25" t="n">
        <v>815.648</v>
      </c>
      <c r="E16" s="25" t="n"/>
      <c r="F16" s="25" t="n"/>
      <c r="G16" s="25" t="n"/>
      <c r="H16" s="25" t="n">
        <v>817.534</v>
      </c>
      <c r="I16" s="25" t="n"/>
      <c r="J16" s="25" t="n">
        <v>399819</v>
      </c>
      <c r="K16" s="67">
        <f>SUMPRODUCT($C$10:$J$10,C16:J16)/1000</f>
        <v/>
      </c>
    </row>
    <row r="17" ht="29" customHeight="1" s="165">
      <c r="A17" s="37" t="inlineStr">
        <is>
          <t>Beijing</t>
        </is>
      </c>
      <c r="B17" s="57" t="inlineStr">
        <is>
          <t>FY'24 Total Consumption</t>
        </is>
      </c>
      <c r="C17" s="25" t="n">
        <v>2761320</v>
      </c>
      <c r="D17" s="25" t="n"/>
      <c r="E17" s="25" t="n"/>
      <c r="F17" s="25" t="n">
        <v>6597.673</v>
      </c>
      <c r="G17" s="25" t="n"/>
      <c r="H17" s="25" t="n"/>
      <c r="I17" s="25" t="n"/>
      <c r="J17" s="25" t="n">
        <v>209080</v>
      </c>
      <c r="K17" s="67">
        <f>SUMPRODUCT($C$10:$J$10,C17:J17)/1000</f>
        <v/>
      </c>
    </row>
    <row r="18" ht="29" customHeight="1" s="165">
      <c r="A18" s="37" t="inlineStr">
        <is>
          <t>Yancheng</t>
        </is>
      </c>
      <c r="B18" s="57" t="inlineStr">
        <is>
          <t>FY'24 Total Consumption</t>
        </is>
      </c>
      <c r="C18" s="25" t="n">
        <v>1228329</v>
      </c>
      <c r="D18" s="25" t="n">
        <v>41562.872</v>
      </c>
      <c r="E18" s="25" t="n"/>
      <c r="F18" s="25" t="n">
        <v>7131.818</v>
      </c>
      <c r="G18" s="25" t="n"/>
      <c r="H18" s="25" t="n"/>
      <c r="I18" s="25" t="n"/>
      <c r="J18" s="25" t="n">
        <v>248835</v>
      </c>
      <c r="K18" s="67">
        <f>SUMPRODUCT($C$10:$J$10,C18:J18)/1000</f>
        <v/>
      </c>
    </row>
    <row r="19" ht="29" customHeight="1" s="165">
      <c r="A19" s="37" t="inlineStr">
        <is>
          <t>Mannur</t>
        </is>
      </c>
      <c r="B19" s="57" t="inlineStr">
        <is>
          <t>FY'24 Total Consumption</t>
        </is>
      </c>
      <c r="C19" s="25" t="n">
        <v>5084790</v>
      </c>
      <c r="D19" s="25" t="n">
        <v>78750.834</v>
      </c>
      <c r="E19" s="25" t="n"/>
      <c r="F19" s="25" t="n"/>
      <c r="G19" s="25" t="n"/>
      <c r="H19" s="25" t="n"/>
      <c r="I19" s="25" t="n"/>
      <c r="J19" s="25" t="n">
        <v>652627</v>
      </c>
      <c r="K19" s="67">
        <f>SUMPRODUCT($C$10:$J$10,C19:J19)/1000</f>
        <v/>
      </c>
    </row>
    <row r="20" ht="29" customHeight="1" s="165">
      <c r="A20" s="37" t="inlineStr">
        <is>
          <t>Orgadam</t>
        </is>
      </c>
      <c r="B20" s="57" t="inlineStr">
        <is>
          <t>FY'24 Total Consumption</t>
        </is>
      </c>
      <c r="C20" s="25" t="n">
        <v>3274535</v>
      </c>
      <c r="D20" s="25" t="n">
        <v>33420.658</v>
      </c>
      <c r="E20" s="25" t="n"/>
      <c r="F20" s="25" t="n"/>
      <c r="G20" s="25" t="n"/>
      <c r="H20" s="25" t="n"/>
      <c r="I20" s="25" t="n"/>
      <c r="J20" s="25" t="n">
        <v>471060</v>
      </c>
      <c r="K20" s="67">
        <f>SUMPRODUCT($C$10:$J$10,C20:J20)/1000</f>
        <v/>
      </c>
    </row>
    <row r="21" ht="29" customHeight="1" s="165">
      <c r="A21" s="37" t="inlineStr">
        <is>
          <t>Bangalore</t>
        </is>
      </c>
      <c r="B21" s="57" t="inlineStr">
        <is>
          <t>FY'24 Total Consumption</t>
        </is>
      </c>
      <c r="C21" s="25" t="n">
        <v>4268690</v>
      </c>
      <c r="D21" s="25" t="n">
        <v>45561.24</v>
      </c>
      <c r="E21" s="25" t="n"/>
      <c r="F21" s="25" t="n"/>
      <c r="G21" s="25" t="n"/>
      <c r="H21" s="25" t="n"/>
      <c r="I21" s="25" t="n"/>
      <c r="J21" s="25" t="n">
        <v>696020</v>
      </c>
      <c r="K21" s="67">
        <f>SUMPRODUCT($C$10:$J$10,C21:J21)/1000</f>
        <v/>
      </c>
    </row>
    <row r="22" ht="29" customHeight="1" s="165">
      <c r="A22" s="37" t="inlineStr">
        <is>
          <t>Pune</t>
        </is>
      </c>
      <c r="B22" s="57" t="inlineStr">
        <is>
          <t>FY'24 Total Consumption</t>
        </is>
      </c>
      <c r="C22" s="25" t="n">
        <v>1393277</v>
      </c>
      <c r="D22" s="25" t="n">
        <v>27505.871</v>
      </c>
      <c r="E22" s="25" t="n"/>
      <c r="F22" s="25" t="n"/>
      <c r="G22" s="25" t="n"/>
      <c r="H22" s="25" t="n"/>
      <c r="I22" s="25" t="n"/>
      <c r="J22" s="25" t="n">
        <v>648060</v>
      </c>
      <c r="K22" s="67">
        <f>SUMPRODUCT($C$10:$J$10,C22:J22)/1000</f>
        <v/>
      </c>
    </row>
    <row r="23" ht="29" customHeight="1" s="165">
      <c r="A23" s="37" t="inlineStr">
        <is>
          <t>Trzyniec</t>
        </is>
      </c>
      <c r="B23" s="57" t="inlineStr">
        <is>
          <t>FY'24 Total Consumption</t>
        </is>
      </c>
      <c r="C23" s="25" t="n">
        <v>2823083</v>
      </c>
      <c r="D23" s="25" t="n">
        <v>3048.541</v>
      </c>
      <c r="E23" s="25" t="n"/>
      <c r="F23" s="25" t="n">
        <v>11632.104</v>
      </c>
      <c r="G23" s="25" t="n">
        <v>3214000</v>
      </c>
      <c r="H23" s="25" t="n"/>
      <c r="I23" s="25" t="n"/>
      <c r="J23" s="25" t="n">
        <v>45194</v>
      </c>
      <c r="K23" s="67">
        <f>SUMPRODUCT($C$10:$J$10,C23:J23)/1000</f>
        <v/>
      </c>
    </row>
    <row r="24" ht="29" customHeight="1" s="165">
      <c r="A24" s="37" t="inlineStr">
        <is>
          <t>Žilina</t>
        </is>
      </c>
      <c r="B24" s="57" t="inlineStr">
        <is>
          <t>FY'24 Total Consumption</t>
        </is>
      </c>
      <c r="C24" s="25" t="n">
        <v>2797775.28</v>
      </c>
      <c r="D24" s="25" t="n">
        <v>4960.111</v>
      </c>
      <c r="E24" s="25" t="n"/>
      <c r="F24" s="25" t="n">
        <v>5542.758</v>
      </c>
      <c r="G24" s="25" t="n"/>
      <c r="H24" s="25" t="n"/>
      <c r="I24" s="25" t="n">
        <v>62892.15</v>
      </c>
      <c r="J24" s="25" t="n">
        <v>29060</v>
      </c>
      <c r="K24" s="67">
        <f>SUMPRODUCT($C$10:$J$10,C24:J24)/1000</f>
        <v/>
      </c>
    </row>
    <row r="25" ht="29" customHeight="1" s="165">
      <c r="A25" s="37" t="inlineStr">
        <is>
          <t>Bystřice</t>
        </is>
      </c>
      <c r="B25" s="57" t="inlineStr">
        <is>
          <t>FY'24 Total Consumption</t>
        </is>
      </c>
      <c r="C25" s="25" t="n">
        <v>4212730</v>
      </c>
      <c r="D25" s="25" t="n">
        <v>4458.475</v>
      </c>
      <c r="E25" s="25" t="n"/>
      <c r="F25" s="25" t="n">
        <v>3133.379</v>
      </c>
      <c r="G25" s="25" t="n"/>
      <c r="H25" s="25" t="n">
        <v>8822</v>
      </c>
      <c r="I25" s="25" t="n">
        <v>15498.547</v>
      </c>
      <c r="J25" s="25" t="n">
        <v>11880.346</v>
      </c>
      <c r="K25" s="67">
        <f>SUMPRODUCT($C$10:$J$10,C25:J25)/1000</f>
        <v/>
      </c>
    </row>
    <row r="26" ht="29" customHeight="1" s="165">
      <c r="A26" s="37" t="inlineStr">
        <is>
          <t>Lipovice</t>
        </is>
      </c>
      <c r="B26" s="57" t="inlineStr">
        <is>
          <t>FY'24 Total Consumption</t>
        </is>
      </c>
      <c r="C26" s="25" t="n">
        <v>609686</v>
      </c>
      <c r="D26" s="25" t="n">
        <v>3794.069</v>
      </c>
      <c r="E26" s="25" t="n"/>
      <c r="F26" s="25" t="n"/>
      <c r="G26" s="25" t="n"/>
      <c r="H26" s="25" t="n">
        <v>25780.637</v>
      </c>
      <c r="I26" s="25" t="n"/>
      <c r="J26" s="25" t="n">
        <v>1.579</v>
      </c>
      <c r="K26" s="67">
        <f>SUMPRODUCT($C$10:$J$10,C26:J26)/1000</f>
        <v/>
      </c>
    </row>
    <row r="27" ht="29" customHeight="1" s="165">
      <c r="A27" s="37" t="inlineStr">
        <is>
          <t>Mikulov</t>
        </is>
      </c>
      <c r="B27" s="57" t="inlineStr">
        <is>
          <t>FY'24 Total Consumption</t>
        </is>
      </c>
      <c r="C27" s="25" t="n">
        <v>121271.2</v>
      </c>
      <c r="D27" s="25" t="n">
        <v>2334.084</v>
      </c>
      <c r="E27" s="25" t="n"/>
      <c r="F27" s="25" t="n">
        <v>8013.036</v>
      </c>
      <c r="G27" s="25" t="n"/>
      <c r="H27" s="25" t="n"/>
      <c r="I27" s="25" t="n">
        <v>6050.819</v>
      </c>
      <c r="J27" s="25" t="n"/>
      <c r="K27" s="67">
        <f>SUMPRODUCT($C$10:$J$10,C27:J27)/1000</f>
        <v/>
      </c>
    </row>
    <row r="28" ht="29" customHeight="1" s="165">
      <c r="A28" s="37" t="inlineStr">
        <is>
          <t>İzmit</t>
        </is>
      </c>
      <c r="B28" s="57" t="inlineStr">
        <is>
          <t>FY'24 Total Consumption</t>
        </is>
      </c>
      <c r="C28" s="25" t="n">
        <v>1699344.11</v>
      </c>
      <c r="D28" s="25" t="n">
        <v>8361.84</v>
      </c>
      <c r="E28" s="25" t="n"/>
      <c r="F28" s="25" t="n">
        <v>4783.162</v>
      </c>
      <c r="G28" s="25" t="n"/>
      <c r="H28" s="25" t="n"/>
      <c r="I28" s="25" t="n">
        <v>53790.296</v>
      </c>
      <c r="J28" s="25" t="n">
        <v>41192.315</v>
      </c>
      <c r="K28" s="67">
        <f>SUMPRODUCT($C$10:$J$10,C28:J28)/1000</f>
        <v/>
      </c>
    </row>
    <row r="29" ht="29" customHeight="1" s="165">
      <c r="A29" s="37" t="inlineStr">
        <is>
          <t>Bekasi</t>
        </is>
      </c>
      <c r="B29" s="57" t="inlineStr">
        <is>
          <t>FY'24 Total Consumption</t>
        </is>
      </c>
      <c r="C29" s="25" t="n">
        <v>1109849.7</v>
      </c>
      <c r="D29" s="25" t="n">
        <v>1769.23</v>
      </c>
      <c r="E29" s="25" t="n"/>
      <c r="F29" s="25" t="n">
        <v>2372.376</v>
      </c>
      <c r="G29" s="25" t="n"/>
      <c r="H29" s="25" t="n"/>
      <c r="I29" s="25" t="n"/>
      <c r="J29" s="25" t="n">
        <v>63677.501</v>
      </c>
      <c r="K29" s="67">
        <f>SUMPRODUCT($C$10:$J$10,C29:J29)/1000</f>
        <v/>
      </c>
    </row>
    <row r="30" ht="29" customHeight="1" s="165">
      <c r="A30" s="37" t="inlineStr">
        <is>
          <t>Indiana</t>
        </is>
      </c>
      <c r="B30" s="57" t="inlineStr">
        <is>
          <t>FY'24 Total Consumption</t>
        </is>
      </c>
      <c r="C30" s="25" t="n">
        <v>1841025</v>
      </c>
      <c r="D30" s="25" t="n"/>
      <c r="E30" s="25" t="n"/>
      <c r="F30" s="25" t="n">
        <v>8798.918</v>
      </c>
      <c r="G30" s="25" t="n"/>
      <c r="H30" s="25" t="n"/>
      <c r="I30" s="25" t="n">
        <v>153587.57</v>
      </c>
      <c r="J30" s="25" t="n">
        <v>70110.355</v>
      </c>
      <c r="K30" s="67">
        <f>SUMPRODUCT($C$10:$J$10,C30:J30)/1000</f>
        <v/>
      </c>
    </row>
    <row r="31" ht="29" customHeight="1" s="165">
      <c r="A31" s="37" t="inlineStr">
        <is>
          <t>Alabama</t>
        </is>
      </c>
      <c r="B31" s="57" t="inlineStr">
        <is>
          <t>FY'24 Total Consumption</t>
        </is>
      </c>
      <c r="C31" s="25" t="n">
        <v>3978605</v>
      </c>
      <c r="D31" s="25" t="n"/>
      <c r="E31" s="25" t="n"/>
      <c r="F31" s="25" t="n">
        <v>33726.512</v>
      </c>
      <c r="G31" s="25" t="n"/>
      <c r="H31" s="25" t="n">
        <v>7723.765</v>
      </c>
      <c r="I31" s="25" t="n">
        <v>70270.882</v>
      </c>
      <c r="J31" s="25" t="n">
        <v>155867.365</v>
      </c>
      <c r="K31" s="67">
        <f>SUMPRODUCT($C$10:$J$10,C31:J31)/1000</f>
        <v/>
      </c>
    </row>
    <row r="32" ht="29" customHeight="1" s="165">
      <c r="A32" s="37" t="inlineStr">
        <is>
          <t>Savannah</t>
        </is>
      </c>
      <c r="B32" s="57" t="inlineStr">
        <is>
          <t>FY'24 Total Consumption</t>
        </is>
      </c>
      <c r="C32" s="25" t="n">
        <v>847200</v>
      </c>
      <c r="D32" s="25" t="n"/>
      <c r="E32" s="25" t="n"/>
      <c r="F32" s="25" t="n">
        <v>13071.461</v>
      </c>
      <c r="G32" s="25" t="n"/>
      <c r="H32" s="25" t="n"/>
      <c r="I32" s="25" t="n">
        <v>2925.064</v>
      </c>
      <c r="J32" s="25" t="n">
        <v>11692.189</v>
      </c>
      <c r="K32" s="68">
        <f>SUMPRODUCT($C$10:$J$10,C32:J32)/1000</f>
        <v/>
      </c>
    </row>
    <row r="33" ht="22" customHeight="1" s="165" thickBot="1">
      <c r="A33" s="142" t="inlineStr">
        <is>
          <t>Total</t>
        </is>
      </c>
      <c r="B33" s="187" t="n"/>
      <c r="C33" s="9">
        <f>SUM(C11:C32)</f>
        <v/>
      </c>
      <c r="D33" s="9">
        <f>SUM(D11:D32)</f>
        <v/>
      </c>
      <c r="E33" s="9">
        <f>SUM(E11:E32)</f>
        <v/>
      </c>
      <c r="F33" s="9">
        <f>SUM(F11:F32)</f>
        <v/>
      </c>
      <c r="G33" s="9">
        <f>SUM(G11:G32)</f>
        <v/>
      </c>
      <c r="H33" s="9">
        <f>SUM(H11:H32)</f>
        <v/>
      </c>
      <c r="I33" s="9">
        <f>SUM(I11:I32)</f>
        <v/>
      </c>
      <c r="J33" s="9">
        <f>SUM(J11:J32)</f>
        <v/>
      </c>
      <c r="K33" s="15">
        <f>SUM(K11:K32)</f>
        <v/>
      </c>
    </row>
  </sheetData>
  <mergeCells count="3">
    <mergeCell ref="A33:B33"/>
    <mergeCell ref="A10:B10"/>
    <mergeCell ref="I4:J5"/>
  </mergeCells>
  <pageMargins left="0.2362204724409449" right="0.2362204724409449" top="0.7480314960629921" bottom="0.3543307086614174" header="0.3149606299212598" footer="0.3149606299212598"/>
  <pageSetup orientation="landscape" paperSize="9" scale="78" fitToHeight="0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T80"/>
  <sheetViews>
    <sheetView showGridLines="0" zoomScale="85" zoomScaleNormal="85" zoomScaleSheetLayoutView="85" workbookViewId="0">
      <selection activeCell="A3" sqref="A3"/>
    </sheetView>
  </sheetViews>
  <sheetFormatPr baseColWidth="8" defaultRowHeight="13"/>
  <cols>
    <col width="11.9140625" customWidth="1" style="2" min="1" max="1"/>
    <col width="15.6640625" bestFit="1" customWidth="1" style="53" min="2" max="2"/>
    <col width="16" customWidth="1" style="2" min="3" max="20"/>
    <col width="8.6640625" customWidth="1" style="2" min="21" max="23"/>
    <col width="15.58203125" bestFit="1" customWidth="1" style="2" min="24" max="24"/>
    <col width="8.6640625" customWidth="1" style="2" min="25" max="16384"/>
  </cols>
  <sheetData>
    <row r="1" ht="23.5" customHeight="1" s="165">
      <c r="A1" s="32" t="inlineStr">
        <is>
          <t>◆ SCOPE 3 Carbon Emissions – Cat 4. Upstream Transportation and Distribution</t>
        </is>
      </c>
    </row>
    <row r="2">
      <c r="O2" s="45" t="inlineStr">
        <is>
          <t>Classification</t>
        </is>
      </c>
      <c r="P2" s="45" t="inlineStr">
        <is>
          <t>Emission Factor</t>
        </is>
      </c>
      <c r="R2" s="45" t="inlineStr">
        <is>
          <t>Combined Transport</t>
        </is>
      </c>
      <c r="S2" s="45" t="inlineStr">
        <is>
          <t>Select</t>
        </is>
      </c>
      <c r="T2" s="45" t="inlineStr">
        <is>
          <t>Transport Distance</t>
        </is>
      </c>
    </row>
    <row r="3" ht="26.5" customHeight="1" s="165" thickBot="1">
      <c r="A3" s="163" t="inlineStr">
        <is>
          <t>※ Collection period: 2025 Jan 1 – Dec 31</t>
        </is>
      </c>
      <c r="B3" s="54" t="n"/>
      <c r="C3" s="34" t="n"/>
      <c r="F3" s="35" t="inlineStr">
        <is>
          <t>※ Scope 3 Cat 4 Total Emissions</t>
        </is>
      </c>
      <c r="G3" s="31" t="n"/>
      <c r="O3" s="45" t="inlineStr">
        <is>
          <t>Truck</t>
        </is>
      </c>
      <c r="P3" s="209" t="n">
        <v>9.3e-05</v>
      </c>
      <c r="R3" s="43" t="inlineStr">
        <is>
          <t>Air + Truck</t>
        </is>
      </c>
      <c r="S3" s="43" t="inlineStr">
        <is>
          <t>Air</t>
        </is>
      </c>
      <c r="T3" s="43" t="inlineStr">
        <is>
          <t>Air distance only</t>
        </is>
      </c>
    </row>
    <row r="4" ht="26.5" customHeight="1" s="165">
      <c r="A4" s="33" t="inlineStr">
        <is>
          <t>※ Note: Select transport mode from dropdown [based on primary transport mode] → Light green cells</t>
        </is>
      </c>
      <c r="B4" s="54" t="n"/>
      <c r="C4" s="34" t="n"/>
      <c r="F4" s="182">
        <f>T80</f>
        <v/>
      </c>
      <c r="G4" s="183" t="n"/>
      <c r="O4" s="45" t="inlineStr">
        <is>
          <t>Rail</t>
        </is>
      </c>
      <c r="P4" s="209" t="n">
        <v>0.03507</v>
      </c>
      <c r="R4" s="43" t="inlineStr">
        <is>
          <t>Rail + Truck</t>
        </is>
      </c>
      <c r="S4" s="43" t="inlineStr">
        <is>
          <t>Rail</t>
        </is>
      </c>
      <c r="T4" s="43" t="inlineStr">
        <is>
          <t>Rail distance only</t>
        </is>
      </c>
    </row>
    <row r="5" ht="26.5" customHeight="1" s="165" thickBot="1">
      <c r="A5" s="33" t="inlineStr">
        <is>
          <t>Annual travel distance: from supply chain to subsidiary arrival → Blue cells</t>
        </is>
      </c>
      <c r="B5" s="55" t="n"/>
      <c r="C5" s="34" t="n"/>
      <c r="F5" s="184" t="n"/>
      <c r="G5" s="185" t="n"/>
      <c r="O5" s="45" t="inlineStr">
        <is>
          <t>Air</t>
        </is>
      </c>
      <c r="P5" s="209" t="n">
        <v>1</v>
      </c>
      <c r="R5" s="43" t="inlineStr">
        <is>
          <t>Sea + Truck</t>
        </is>
      </c>
      <c r="S5" s="43" t="inlineStr">
        <is>
          <t>Sea</t>
        </is>
      </c>
      <c r="T5" s="43" t="inlineStr">
        <is>
          <t>Sea distance only</t>
        </is>
      </c>
    </row>
    <row r="6" ht="26.5" customHeight="1" s="165">
      <c r="A6" s="33" t="inlineStr">
        <is>
          <t>Annual total distance (one-way basis)</t>
        </is>
      </c>
      <c r="O6" s="45" t="inlineStr">
        <is>
          <t>Ocean Vessel</t>
        </is>
      </c>
      <c r="P6" s="209" t="n">
        <v>9.6e-06</v>
      </c>
    </row>
    <row r="7"/>
    <row r="8" ht="23.5" customHeight="1" s="165">
      <c r="E8" s="28" t="n"/>
      <c r="J8" s="2" t="inlineStr">
        <is>
          <t>▼</t>
        </is>
      </c>
    </row>
    <row r="9" ht="20.5" customHeight="1" s="165" thickBot="1">
      <c r="C9" s="151" t="inlineStr">
        <is>
          <t>Based on Cat 1 supply chain – select transport mode and enter annual travel distance</t>
        </is>
      </c>
      <c r="J9" s="154" t="inlineStr">
        <is>
          <t>Based on Cat 1 supply chain – select transport mode and enter annual travel distance</t>
        </is>
      </c>
      <c r="K9" s="186" t="n"/>
      <c r="L9" s="186" t="n"/>
      <c r="M9" s="186" t="n"/>
      <c r="N9" s="186" t="n"/>
      <c r="O9" s="186" t="n"/>
      <c r="P9" s="186" t="n"/>
      <c r="Q9" s="186" t="n"/>
      <c r="R9" s="186" t="n"/>
    </row>
    <row r="10" ht="36.5" customHeight="1" s="165">
      <c r="A10" s="29" t="inlineStr">
        <is>
          <t>By subsidiary</t>
        </is>
      </c>
      <c r="B10" s="29" t="inlineStr">
        <is>
          <t>Classification</t>
        </is>
      </c>
      <c r="C10" s="29" t="inlineStr">
        <is>
          <t>Steel Sheet (kg)</t>
        </is>
      </c>
      <c r="D10" s="29" t="inlineStr">
        <is>
          <t>Wire (kg)</t>
        </is>
      </c>
      <c r="E10" s="29" t="inlineStr">
        <is>
          <t>Pipe (kg)</t>
        </is>
      </c>
      <c r="F10" s="29" t="inlineStr">
        <is>
          <t>Copper (kg)</t>
        </is>
      </c>
      <c r="G10" s="29" t="inlineStr">
        <is>
          <t>Anti-rust Materials (kg)</t>
        </is>
      </c>
      <c r="H10" s="30" t="inlineStr">
        <is>
          <t>Acids (kg)
[HCl, H2SO4, HNO3, etc.]</t>
        </is>
      </c>
      <c r="I10" s="30" t="inlineStr">
        <is>
          <t>CO2 wire(kg)</t>
        </is>
      </c>
      <c r="J10" s="29" t="inlineStr">
        <is>
          <t>Supply Chain A</t>
        </is>
      </c>
      <c r="K10" s="29" t="inlineStr">
        <is>
          <t>Supply Chain B</t>
        </is>
      </c>
      <c r="L10" s="29" t="inlineStr">
        <is>
          <t>Supply Chain C</t>
        </is>
      </c>
      <c r="M10" s="29" t="inlineStr">
        <is>
          <t>Supply Chain D</t>
        </is>
      </c>
      <c r="N10" s="29" t="inlineStr">
        <is>
          <t>Supply Chain E</t>
        </is>
      </c>
      <c r="O10" s="29" t="inlineStr">
        <is>
          <t>Supply Chain F</t>
        </is>
      </c>
      <c r="P10" s="29" t="inlineStr">
        <is>
          <t>Supply Chain G</t>
        </is>
      </c>
      <c r="Q10" s="29" t="inlineStr">
        <is>
          <t>Supply Chain H</t>
        </is>
      </c>
      <c r="R10" s="29" t="inlineStr">
        <is>
          <t>Supply Chain I</t>
        </is>
      </c>
      <c r="S10" s="59" t="inlineStr">
        <is>
          <t>Emissions
(kgCO2eq)</t>
        </is>
      </c>
      <c r="T10" s="58" t="inlineStr">
        <is>
          <t>Emissions
(tCO2eq)</t>
        </is>
      </c>
    </row>
    <row r="11" ht="17" customHeight="1" s="165">
      <c r="A11" s="16" t="inlineStr">
        <is>
          <t>ex)</t>
        </is>
      </c>
      <c r="B11" s="16" t="inlineStr">
        <is>
          <t>Transport Mode</t>
        </is>
      </c>
      <c r="C11" s="190" t="inlineStr">
        <is>
          <t>Truck</t>
        </is>
      </c>
      <c r="D11" s="190" t="inlineStr">
        <is>
          <t>Truck</t>
        </is>
      </c>
      <c r="E11" s="190" t="inlineStr">
        <is>
          <t>Truck</t>
        </is>
      </c>
      <c r="F11" s="190" t="inlineStr">
        <is>
          <t>Air</t>
        </is>
      </c>
      <c r="G11" s="190" t="inlineStr">
        <is>
          <t>Truck</t>
        </is>
      </c>
      <c r="H11" s="190" t="inlineStr">
        <is>
          <t>Truck</t>
        </is>
      </c>
      <c r="I11" s="190" t="inlineStr">
        <is>
          <t>Truck</t>
        </is>
      </c>
      <c r="J11" s="190" t="inlineStr">
        <is>
          <t>Truck</t>
        </is>
      </c>
      <c r="K11" s="190" t="inlineStr">
        <is>
          <t>Truck</t>
        </is>
      </c>
      <c r="L11" s="190" t="inlineStr">
        <is>
          <t>Ocean Vessel</t>
        </is>
      </c>
      <c r="M11" s="190" t="inlineStr">
        <is>
          <t>Truck</t>
        </is>
      </c>
      <c r="N11" s="190" t="inlineStr">
        <is>
          <t>Truck</t>
        </is>
      </c>
      <c r="O11" s="190" t="inlineStr">
        <is>
          <t>Truck</t>
        </is>
      </c>
      <c r="P11" s="190" t="inlineStr">
        <is>
          <t>Truck</t>
        </is>
      </c>
      <c r="Q11" s="190" t="inlineStr">
        <is>
          <t>Truck</t>
        </is>
      </c>
      <c r="R11" s="190" t="inlineStr">
        <is>
          <t>Truck</t>
        </is>
      </c>
      <c r="S11" s="190" t="inlineStr">
        <is>
          <t>Truck</t>
        </is>
      </c>
      <c r="T11" s="23" t="n"/>
    </row>
    <row r="12" ht="17" customHeight="1" s="165">
      <c r="A12" s="210" t="n"/>
      <c r="B12" s="16" t="inlineStr">
        <is>
          <t>Emission Factor (Auto)</t>
        </is>
      </c>
      <c r="C12" s="211">
        <f>VLOOKUP(C11,$O$3:$P$6,2,0)</f>
        <v/>
      </c>
      <c r="D12" s="211">
        <f>VLOOKUP(D11,$O$3:$P$6,2,0)</f>
        <v/>
      </c>
      <c r="E12" s="211">
        <f>VLOOKUP(E11,$O$3:$P$6,2,0)</f>
        <v/>
      </c>
      <c r="F12" s="211">
        <f>VLOOKUP(F11,$O$3:$P$6,2,0)</f>
        <v/>
      </c>
      <c r="G12" s="211">
        <f>VLOOKUP(G11,$O$3:$P$6,2,0)</f>
        <v/>
      </c>
      <c r="H12" s="211">
        <f>VLOOKUP(H11,$O$3:$P$6,2,0)</f>
        <v/>
      </c>
      <c r="I12" s="211">
        <f>VLOOKUP(I11,$O$3:$P$6,2,0)</f>
        <v/>
      </c>
      <c r="J12" s="211">
        <f>VLOOKUP(J11,$O$3:$P$6,2,0)</f>
        <v/>
      </c>
      <c r="K12" s="211">
        <f>VLOOKUP(K11,$O$3:$P$6,2,0)</f>
        <v/>
      </c>
      <c r="L12" s="211">
        <f>VLOOKUP(L11,$O$3:$P$6,2,0)</f>
        <v/>
      </c>
      <c r="M12" s="211">
        <f>VLOOKUP(M11,$O$3:$P$6,2,0)</f>
        <v/>
      </c>
      <c r="N12" s="211">
        <f>VLOOKUP(N11,$O$3:$P$6,2,0)</f>
        <v/>
      </c>
      <c r="O12" s="211">
        <f>VLOOKUP(O11,$O$3:$P$6,2,0)</f>
        <v/>
      </c>
      <c r="P12" s="211">
        <f>VLOOKUP(P11,$O$3:$P$6,2,0)</f>
        <v/>
      </c>
      <c r="Q12" s="211">
        <f>VLOOKUP(Q11,$O$3:$P$6,2,0)</f>
        <v/>
      </c>
      <c r="R12" s="211">
        <f>VLOOKUP(R11,$O$3:$P$6,2,0)</f>
        <v/>
      </c>
      <c r="S12" s="212" t="n"/>
      <c r="T12" s="23" t="n"/>
    </row>
    <row r="13" ht="17" customHeight="1" s="165">
      <c r="A13" s="192" t="n"/>
      <c r="B13" s="16" t="inlineStr">
        <is>
          <t>Annual Travel Distance (km)</t>
        </is>
      </c>
      <c r="C13" s="193" t="n">
        <v>2000</v>
      </c>
      <c r="D13" s="193" t="n">
        <v>3000</v>
      </c>
      <c r="E13" s="193" t="n">
        <v>1000</v>
      </c>
      <c r="F13" s="193" t="n">
        <v>3000</v>
      </c>
      <c r="G13" s="193" t="n">
        <v>450</v>
      </c>
      <c r="H13" s="193" t="n">
        <v>500</v>
      </c>
      <c r="I13" s="193" t="n">
        <v>600</v>
      </c>
      <c r="J13" s="193" t="n">
        <v>1500</v>
      </c>
      <c r="K13" s="193" t="n">
        <v>3000</v>
      </c>
      <c r="L13" s="193" t="n">
        <v>25000</v>
      </c>
      <c r="M13" s="193" t="n"/>
      <c r="N13" s="193" t="n"/>
      <c r="O13" s="193" t="n"/>
      <c r="P13" s="193" t="n"/>
      <c r="Q13" s="193" t="n"/>
      <c r="R13" s="193" t="n"/>
      <c r="S13" s="194">
        <f t="array" ref="S13">SUMPRODUCT(C12:R12,C13:R13,'Cat 1'!C13:R13/1000)</f>
        <v/>
      </c>
      <c r="T13" s="195">
        <f>S13/1000</f>
        <v/>
      </c>
    </row>
    <row r="14" ht="18.5" customHeight="1" s="165">
      <c r="A14" s="152" t="inlineStr">
        <is>
          <t>Dongtan</t>
        </is>
      </c>
      <c r="B14" s="56" t="inlineStr">
        <is>
          <t>Transport Mode</t>
        </is>
      </c>
      <c r="C14" s="213" t="inlineStr">
        <is>
          <t>Truck</t>
        </is>
      </c>
      <c r="D14" s="213" t="inlineStr">
        <is>
          <t>Truck</t>
        </is>
      </c>
      <c r="E14" s="213" t="inlineStr">
        <is>
          <t>Truck</t>
        </is>
      </c>
      <c r="F14" s="213" t="inlineStr">
        <is>
          <t>Air</t>
        </is>
      </c>
      <c r="G14" s="213" t="inlineStr">
        <is>
          <t>Truck</t>
        </is>
      </c>
      <c r="H14" s="213" t="inlineStr">
        <is>
          <t>Truck</t>
        </is>
      </c>
      <c r="I14" s="213" t="inlineStr">
        <is>
          <t>Truck</t>
        </is>
      </c>
      <c r="J14" s="213" t="inlineStr">
        <is>
          <t>Truck</t>
        </is>
      </c>
      <c r="K14" s="213" t="inlineStr">
        <is>
          <t>Truck</t>
        </is>
      </c>
      <c r="L14" s="213" t="inlineStr">
        <is>
          <t>Truck</t>
        </is>
      </c>
      <c r="M14" s="213" t="inlineStr">
        <is>
          <t>Truck</t>
        </is>
      </c>
      <c r="N14" s="213" t="inlineStr">
        <is>
          <t>Truck</t>
        </is>
      </c>
      <c r="O14" s="213" t="inlineStr">
        <is>
          <t>Truck</t>
        </is>
      </c>
      <c r="P14" s="213" t="inlineStr">
        <is>
          <t>Truck</t>
        </is>
      </c>
      <c r="Q14" s="213" t="inlineStr">
        <is>
          <t>Truck</t>
        </is>
      </c>
      <c r="R14" s="214" t="inlineStr">
        <is>
          <t>Truck</t>
        </is>
      </c>
      <c r="S14" s="215" t="n"/>
      <c r="T14" s="199" t="n"/>
    </row>
    <row r="15" ht="17" customHeight="1" s="165">
      <c r="A15" s="210" t="n"/>
      <c r="B15" s="152" t="inlineStr">
        <is>
          <t>Emission Factor (Auto)</t>
        </is>
      </c>
      <c r="C15" s="216">
        <f>VLOOKUP(C14,$O$3:$P$6,2,0)</f>
        <v/>
      </c>
      <c r="D15" s="216">
        <f>VLOOKUP(D14,$O$3:$P$6,2,0)</f>
        <v/>
      </c>
      <c r="E15" s="216">
        <f>VLOOKUP(E14,$O$3:$P$6,2,0)</f>
        <v/>
      </c>
      <c r="F15" s="216">
        <f>VLOOKUP(F14,$O$3:$P$6,2,0)</f>
        <v/>
      </c>
      <c r="G15" s="216">
        <f>VLOOKUP(G14,$O$3:$P$6,2,0)</f>
        <v/>
      </c>
      <c r="H15" s="216">
        <f>VLOOKUP(H14,$O$3:$P$6,2,0)</f>
        <v/>
      </c>
      <c r="I15" s="216">
        <f>VLOOKUP(I14,$O$3:$P$6,2,0)</f>
        <v/>
      </c>
      <c r="J15" s="216">
        <f>VLOOKUP(J14,$O$3:$P$6,2,0)</f>
        <v/>
      </c>
      <c r="K15" s="216">
        <f>VLOOKUP(K14,$O$3:$P$6,2,0)</f>
        <v/>
      </c>
      <c r="L15" s="216">
        <f>VLOOKUP(L14,$O$3:$P$6,2,0)</f>
        <v/>
      </c>
      <c r="M15" s="216">
        <f>VLOOKUP(M14,$O$3:$P$6,2,0)</f>
        <v/>
      </c>
      <c r="N15" s="216">
        <f>VLOOKUP(N14,$O$3:$P$6,2,0)</f>
        <v/>
      </c>
      <c r="O15" s="216">
        <f>VLOOKUP(O14,$O$3:$P$6,2,0)</f>
        <v/>
      </c>
      <c r="P15" s="216">
        <f>VLOOKUP(P14,$O$3:$P$6,2,0)</f>
        <v/>
      </c>
      <c r="Q15" s="216">
        <f>VLOOKUP(Q14,$O$3:$P$6,2,0)</f>
        <v/>
      </c>
      <c r="R15" s="217">
        <f>VLOOKUP(R14,$O$3:$P$6,2,0)</f>
        <v/>
      </c>
      <c r="S15" s="218" t="n"/>
      <c r="T15" s="199" t="n"/>
    </row>
    <row r="16" ht="18.5" customHeight="1" s="165">
      <c r="A16" s="192" t="n"/>
      <c r="B16" s="57" t="inlineStr">
        <is>
          <t>Annual Travel Distance (km)</t>
        </is>
      </c>
      <c r="C16" s="25" t="n"/>
      <c r="D16" s="25" t="n"/>
      <c r="E16" s="25" t="n"/>
      <c r="F16" s="25" t="n"/>
      <c r="G16" s="25" t="n"/>
      <c r="H16" s="25" t="n"/>
      <c r="I16" s="25" t="n"/>
      <c r="J16" s="25" t="n">
        <v>2044</v>
      </c>
      <c r="K16" s="25" t="n">
        <v>927</v>
      </c>
      <c r="L16" s="25" t="n">
        <v>933</v>
      </c>
      <c r="M16" s="25" t="n">
        <v>1408</v>
      </c>
      <c r="N16" s="25" t="n">
        <v>0</v>
      </c>
      <c r="O16" s="25" t="n">
        <v>4017</v>
      </c>
      <c r="P16" s="25" t="n">
        <v>2448</v>
      </c>
      <c r="Q16" s="25" t="n">
        <v>924</v>
      </c>
      <c r="R16" s="26" t="n">
        <v>1240</v>
      </c>
      <c r="S16" s="215">
        <f t="array" ref="S16">SUMPRODUCT(C15:R15,C16:R16,'Cat 1'!C15:R15/1000)</f>
        <v/>
      </c>
      <c r="T16" s="199">
        <f>S16/1000</f>
        <v/>
      </c>
    </row>
    <row r="17" ht="18.5" customHeight="1" s="165">
      <c r="A17" s="152" t="inlineStr">
        <is>
          <t>Logistics Center</t>
        </is>
      </c>
      <c r="B17" s="56" t="inlineStr">
        <is>
          <t>Transport Mode</t>
        </is>
      </c>
      <c r="C17" s="213" t="inlineStr">
        <is>
          <t>Truck</t>
        </is>
      </c>
      <c r="D17" s="213" t="inlineStr">
        <is>
          <t>Truck</t>
        </is>
      </c>
      <c r="E17" s="213" t="inlineStr">
        <is>
          <t>Truck</t>
        </is>
      </c>
      <c r="F17" s="213" t="inlineStr">
        <is>
          <t>Air</t>
        </is>
      </c>
      <c r="G17" s="213" t="inlineStr">
        <is>
          <t>Truck</t>
        </is>
      </c>
      <c r="H17" s="213" t="inlineStr">
        <is>
          <t>Truck</t>
        </is>
      </c>
      <c r="I17" s="213" t="inlineStr">
        <is>
          <t>Truck</t>
        </is>
      </c>
      <c r="J17" s="213" t="inlineStr">
        <is>
          <t>Truck</t>
        </is>
      </c>
      <c r="K17" s="213" t="inlineStr">
        <is>
          <t>Truck</t>
        </is>
      </c>
      <c r="L17" s="213" t="inlineStr">
        <is>
          <t>Truck</t>
        </is>
      </c>
      <c r="M17" s="213" t="inlineStr">
        <is>
          <t>Truck</t>
        </is>
      </c>
      <c r="N17" s="213" t="inlineStr">
        <is>
          <t>Truck</t>
        </is>
      </c>
      <c r="O17" s="213" t="inlineStr">
        <is>
          <t>Truck</t>
        </is>
      </c>
      <c r="P17" s="213" t="inlineStr">
        <is>
          <t>Truck</t>
        </is>
      </c>
      <c r="Q17" s="213" t="inlineStr">
        <is>
          <t>Truck</t>
        </is>
      </c>
      <c r="R17" s="214" t="inlineStr">
        <is>
          <t>Truck</t>
        </is>
      </c>
      <c r="S17" s="215" t="n"/>
      <c r="T17" s="199" t="n"/>
    </row>
    <row r="18" ht="17" customHeight="1" s="165">
      <c r="A18" s="210" t="n"/>
      <c r="B18" s="152" t="inlineStr">
        <is>
          <t>Emission Factor (Auto)</t>
        </is>
      </c>
      <c r="C18" s="216">
        <f>VLOOKUP(C17,$O$3:$P$6,2,0)</f>
        <v/>
      </c>
      <c r="D18" s="216">
        <f>VLOOKUP(D17,$O$3:$P$6,2,0)</f>
        <v/>
      </c>
      <c r="E18" s="216">
        <f>VLOOKUP(E17,$O$3:$P$6,2,0)</f>
        <v/>
      </c>
      <c r="F18" s="216">
        <f>VLOOKUP(F17,$O$3:$P$6,2,0)</f>
        <v/>
      </c>
      <c r="G18" s="216">
        <f>VLOOKUP(G17,$O$3:$P$6,2,0)</f>
        <v/>
      </c>
      <c r="H18" s="216">
        <f>VLOOKUP(H17,$O$3:$P$6,2,0)</f>
        <v/>
      </c>
      <c r="I18" s="216">
        <f>VLOOKUP(I17,$O$3:$P$6,2,0)</f>
        <v/>
      </c>
      <c r="J18" s="216">
        <f>VLOOKUP(J17,$O$3:$P$6,2,0)</f>
        <v/>
      </c>
      <c r="K18" s="216">
        <f>VLOOKUP(K17,$O$3:$P$6,2,0)</f>
        <v/>
      </c>
      <c r="L18" s="216">
        <f>VLOOKUP(L17,$O$3:$P$6,2,0)</f>
        <v/>
      </c>
      <c r="M18" s="216">
        <f>VLOOKUP(M17,$O$3:$P$6,2,0)</f>
        <v/>
      </c>
      <c r="N18" s="216">
        <f>VLOOKUP(N17,$O$3:$P$6,2,0)</f>
        <v/>
      </c>
      <c r="O18" s="216">
        <f>VLOOKUP(O17,$O$3:$P$6,2,0)</f>
        <v/>
      </c>
      <c r="P18" s="216">
        <f>VLOOKUP(P17,$O$3:$P$6,2,0)</f>
        <v/>
      </c>
      <c r="Q18" s="216">
        <f>VLOOKUP(Q17,$O$3:$P$6,2,0)</f>
        <v/>
      </c>
      <c r="R18" s="217">
        <f>VLOOKUP(R17,$O$3:$P$6,2,0)</f>
        <v/>
      </c>
      <c r="S18" s="218" t="n"/>
      <c r="T18" s="199" t="n"/>
    </row>
    <row r="19" ht="18.5" customHeight="1" s="165">
      <c r="A19" s="192" t="n"/>
      <c r="B19" s="57" t="inlineStr">
        <is>
          <t>Annual Travel Distance (km)</t>
        </is>
      </c>
      <c r="C19" s="25" t="n"/>
      <c r="D19" s="25" t="n"/>
      <c r="E19" s="25" t="n"/>
      <c r="F19" s="25" t="n"/>
      <c r="G19" s="25" t="n"/>
      <c r="H19" s="25" t="n"/>
      <c r="I19" s="25" t="n"/>
      <c r="J19" s="25" t="n">
        <v>340</v>
      </c>
      <c r="K19" s="25" t="n">
        <v>1300</v>
      </c>
      <c r="L19" s="25" t="n">
        <v>28590</v>
      </c>
      <c r="M19" s="200" t="n">
        <v>16920</v>
      </c>
      <c r="N19" s="25" t="n">
        <v>1100</v>
      </c>
      <c r="O19" s="25" t="n">
        <v>9777.6</v>
      </c>
      <c r="P19" s="25" t="n">
        <v>39304</v>
      </c>
      <c r="Q19" s="25" t="n"/>
      <c r="R19" s="26" t="n"/>
      <c r="S19" s="215">
        <f t="array" ref="S19">SUMPRODUCT(C18:R18,C19:R19,'Cat 1'!C17:R17/1000)</f>
        <v/>
      </c>
      <c r="T19" s="199">
        <f>S19/1000</f>
        <v/>
      </c>
    </row>
    <row r="20" ht="18.5" customHeight="1" s="165">
      <c r="A20" s="152" t="inlineStr">
        <is>
          <t>Gyeongju</t>
        </is>
      </c>
      <c r="B20" s="56" t="inlineStr">
        <is>
          <t>Transport Mode</t>
        </is>
      </c>
      <c r="C20" s="213" t="inlineStr">
        <is>
          <t>Truck</t>
        </is>
      </c>
      <c r="D20" s="213" t="inlineStr">
        <is>
          <t>Truck</t>
        </is>
      </c>
      <c r="E20" s="213" t="inlineStr">
        <is>
          <t>Truck</t>
        </is>
      </c>
      <c r="F20" s="213" t="inlineStr">
        <is>
          <t>Air</t>
        </is>
      </c>
      <c r="G20" s="213" t="inlineStr">
        <is>
          <t>Truck</t>
        </is>
      </c>
      <c r="H20" s="213" t="inlineStr">
        <is>
          <t>Truck</t>
        </is>
      </c>
      <c r="I20" s="213" t="inlineStr">
        <is>
          <t>Truck</t>
        </is>
      </c>
      <c r="J20" s="213" t="inlineStr">
        <is>
          <t>Truck</t>
        </is>
      </c>
      <c r="K20" s="213" t="inlineStr">
        <is>
          <t>Truck</t>
        </is>
      </c>
      <c r="L20" s="213" t="inlineStr">
        <is>
          <t>Truck</t>
        </is>
      </c>
      <c r="M20" s="213" t="inlineStr">
        <is>
          <t>Truck</t>
        </is>
      </c>
      <c r="N20" s="213" t="inlineStr">
        <is>
          <t>Truck</t>
        </is>
      </c>
      <c r="O20" s="213" t="inlineStr">
        <is>
          <t>Truck</t>
        </is>
      </c>
      <c r="P20" s="213" t="inlineStr">
        <is>
          <t>Truck</t>
        </is>
      </c>
      <c r="Q20" s="213" t="inlineStr">
        <is>
          <t>Truck</t>
        </is>
      </c>
      <c r="R20" s="214" t="inlineStr">
        <is>
          <t>Truck</t>
        </is>
      </c>
      <c r="S20" s="215" t="n"/>
      <c r="T20" s="199" t="n"/>
    </row>
    <row r="21" ht="17" customHeight="1" s="165">
      <c r="A21" s="210" t="n"/>
      <c r="B21" s="152" t="inlineStr">
        <is>
          <t>Emission Factor (Auto)</t>
        </is>
      </c>
      <c r="C21" s="216">
        <f>VLOOKUP(C20,$O$3:$P$6,2,0)</f>
        <v/>
      </c>
      <c r="D21" s="216">
        <f>VLOOKUP(D20,$O$3:$P$6,2,0)</f>
        <v/>
      </c>
      <c r="E21" s="216">
        <f>VLOOKUP(E20,$O$3:$P$6,2,0)</f>
        <v/>
      </c>
      <c r="F21" s="216">
        <f>VLOOKUP(F20,$O$3:$P$6,2,0)</f>
        <v/>
      </c>
      <c r="G21" s="216">
        <f>VLOOKUP(G20,$O$3:$P$6,2,0)</f>
        <v/>
      </c>
      <c r="H21" s="216">
        <f>VLOOKUP(H20,$O$3:$P$6,2,0)</f>
        <v/>
      </c>
      <c r="I21" s="216">
        <f>VLOOKUP(I20,$O$3:$P$6,2,0)</f>
        <v/>
      </c>
      <c r="J21" s="216">
        <f>VLOOKUP(J20,$O$3:$P$6,2,0)</f>
        <v/>
      </c>
      <c r="K21" s="216">
        <f>VLOOKUP(K20,$O$3:$P$6,2,0)</f>
        <v/>
      </c>
      <c r="L21" s="216">
        <f>VLOOKUP(L20,$O$3:$P$6,2,0)</f>
        <v/>
      </c>
      <c r="M21" s="216">
        <f>VLOOKUP(M20,$O$3:$P$6,2,0)</f>
        <v/>
      </c>
      <c r="N21" s="216">
        <f>VLOOKUP(N20,$O$3:$P$6,2,0)</f>
        <v/>
      </c>
      <c r="O21" s="216">
        <f>VLOOKUP(O20,$O$3:$P$6,2,0)</f>
        <v/>
      </c>
      <c r="P21" s="216">
        <f>VLOOKUP(P20,$O$3:$P$6,2,0)</f>
        <v/>
      </c>
      <c r="Q21" s="216">
        <f>VLOOKUP(Q20,$O$3:$P$6,2,0)</f>
        <v/>
      </c>
      <c r="R21" s="217">
        <f>VLOOKUP(R20,$O$3:$P$6,2,0)</f>
        <v/>
      </c>
      <c r="S21" s="218" t="n"/>
      <c r="T21" s="199" t="n"/>
    </row>
    <row r="22" ht="18.5" customHeight="1" s="165">
      <c r="A22" s="192" t="n"/>
      <c r="B22" s="57" t="inlineStr">
        <is>
          <t>Annual Travel Distance (km)</t>
        </is>
      </c>
      <c r="C22" s="25" t="n"/>
      <c r="D22" s="25" t="n"/>
      <c r="E22" s="25" t="n"/>
      <c r="F22" s="25" t="n"/>
      <c r="G22" s="25" t="n"/>
      <c r="H22" s="25" t="n"/>
      <c r="I22" s="25" t="n">
        <v>528</v>
      </c>
      <c r="J22" s="200" t="n">
        <v>1200</v>
      </c>
      <c r="K22" s="200" t="n">
        <v>1440</v>
      </c>
      <c r="L22" s="200" t="n">
        <v>120</v>
      </c>
      <c r="M22" s="200" t="n">
        <v>336</v>
      </c>
      <c r="N22" s="200" t="n">
        <v>16560</v>
      </c>
      <c r="O22" s="200" t="n">
        <v>1200</v>
      </c>
      <c r="P22" s="200" t="n">
        <v>24720</v>
      </c>
      <c r="Q22" s="200" t="n"/>
      <c r="R22" s="219" t="n"/>
      <c r="S22" s="215">
        <f t="array" ref="S22">SUMPRODUCT(C21:R21,C22:R22,'Cat 1'!C19:R19/1000)</f>
        <v/>
      </c>
      <c r="T22" s="199">
        <f>S22/1000</f>
        <v/>
      </c>
    </row>
    <row r="23" ht="18.5" customHeight="1" s="165">
      <c r="A23" s="152" t="inlineStr">
        <is>
          <t>Asan</t>
        </is>
      </c>
      <c r="B23" s="56" t="inlineStr">
        <is>
          <t>Transport Mode</t>
        </is>
      </c>
      <c r="C23" s="213" t="inlineStr">
        <is>
          <t>Truck</t>
        </is>
      </c>
      <c r="D23" s="213" t="inlineStr">
        <is>
          <t>Truck</t>
        </is>
      </c>
      <c r="E23" s="213" t="inlineStr">
        <is>
          <t>Truck</t>
        </is>
      </c>
      <c r="F23" s="213" t="inlineStr">
        <is>
          <t>Air</t>
        </is>
      </c>
      <c r="G23" s="213" t="inlineStr">
        <is>
          <t>Truck</t>
        </is>
      </c>
      <c r="H23" s="213" t="inlineStr">
        <is>
          <t>Truck</t>
        </is>
      </c>
      <c r="I23" s="213" t="inlineStr">
        <is>
          <t>Truck</t>
        </is>
      </c>
      <c r="J23" s="213" t="inlineStr">
        <is>
          <t>Truck</t>
        </is>
      </c>
      <c r="K23" s="213" t="inlineStr">
        <is>
          <t>Truck</t>
        </is>
      </c>
      <c r="L23" s="213" t="inlineStr">
        <is>
          <t>Truck</t>
        </is>
      </c>
      <c r="M23" s="213" t="inlineStr">
        <is>
          <t>Truck</t>
        </is>
      </c>
      <c r="N23" s="213" t="inlineStr">
        <is>
          <t>Truck</t>
        </is>
      </c>
      <c r="O23" s="213" t="inlineStr">
        <is>
          <t>Truck</t>
        </is>
      </c>
      <c r="P23" s="213" t="inlineStr">
        <is>
          <t>Truck</t>
        </is>
      </c>
      <c r="Q23" s="213" t="inlineStr">
        <is>
          <t>Truck</t>
        </is>
      </c>
      <c r="R23" s="214" t="inlineStr">
        <is>
          <t>Truck</t>
        </is>
      </c>
      <c r="S23" s="215" t="n"/>
      <c r="T23" s="199" t="n"/>
    </row>
    <row r="24" ht="17" customHeight="1" s="165">
      <c r="A24" s="210" t="n"/>
      <c r="B24" s="152" t="inlineStr">
        <is>
          <t>Emission Factor (Auto)</t>
        </is>
      </c>
      <c r="C24" s="216">
        <f>VLOOKUP(C23,$O$3:$P$6,2,0)</f>
        <v/>
      </c>
      <c r="D24" s="216">
        <f>VLOOKUP(D23,$O$3:$P$6,2,0)</f>
        <v/>
      </c>
      <c r="E24" s="216">
        <f>VLOOKUP(E23,$O$3:$P$6,2,0)</f>
        <v/>
      </c>
      <c r="F24" s="216">
        <f>VLOOKUP(F23,$O$3:$P$6,2,0)</f>
        <v/>
      </c>
      <c r="G24" s="216">
        <f>VLOOKUP(G23,$O$3:$P$6,2,0)</f>
        <v/>
      </c>
      <c r="H24" s="216">
        <f>VLOOKUP(H23,$O$3:$P$6,2,0)</f>
        <v/>
      </c>
      <c r="I24" s="216">
        <f>VLOOKUP(I23,$O$3:$P$6,2,0)</f>
        <v/>
      </c>
      <c r="J24" s="216">
        <f>VLOOKUP(J23,$O$3:$P$6,2,0)</f>
        <v/>
      </c>
      <c r="K24" s="216">
        <f>VLOOKUP(K23,$O$3:$P$6,2,0)</f>
        <v/>
      </c>
      <c r="L24" s="216">
        <f>VLOOKUP(L23,$O$3:$P$6,2,0)</f>
        <v/>
      </c>
      <c r="M24" s="216">
        <f>VLOOKUP(M23,$O$3:$P$6,2,0)</f>
        <v/>
      </c>
      <c r="N24" s="216">
        <f>VLOOKUP(N23,$O$3:$P$6,2,0)</f>
        <v/>
      </c>
      <c r="O24" s="216">
        <f>VLOOKUP(O23,$O$3:$P$6,2,0)</f>
        <v/>
      </c>
      <c r="P24" s="216">
        <f>VLOOKUP(P23,$O$3:$P$6,2,0)</f>
        <v/>
      </c>
      <c r="Q24" s="216">
        <f>VLOOKUP(Q23,$O$3:$P$6,2,0)</f>
        <v/>
      </c>
      <c r="R24" s="217">
        <f>VLOOKUP(R23,$O$3:$P$6,2,0)</f>
        <v/>
      </c>
      <c r="S24" s="218" t="n"/>
      <c r="T24" s="199" t="n"/>
    </row>
    <row r="25" ht="18.5" customHeight="1" s="165">
      <c r="A25" s="192" t="n"/>
      <c r="B25" s="57" t="inlineStr">
        <is>
          <t>Annual Travel Distance (km)</t>
        </is>
      </c>
      <c r="C25" s="200" t="n"/>
      <c r="D25" s="200" t="n"/>
      <c r="E25" s="200" t="n"/>
      <c r="F25" s="25" t="n"/>
      <c r="G25" s="25" t="n">
        <v>106</v>
      </c>
      <c r="H25" s="25" t="n"/>
      <c r="I25" s="200" t="n">
        <v>14304</v>
      </c>
      <c r="J25" s="200" t="n">
        <v>40224</v>
      </c>
      <c r="K25" s="200" t="n">
        <v>24000</v>
      </c>
      <c r="L25" s="200" t="n">
        <v>34710.20000000001</v>
      </c>
      <c r="M25" s="200" t="n">
        <v>21521.4</v>
      </c>
      <c r="N25" s="200" t="n">
        <v>3114.799999999999</v>
      </c>
      <c r="O25" s="200" t="n">
        <v>12214</v>
      </c>
      <c r="P25" s="200" t="n">
        <v>21348.75</v>
      </c>
      <c r="Q25" s="200" t="n">
        <v>10107</v>
      </c>
      <c r="R25" s="219" t="n">
        <v>25211.09999999999</v>
      </c>
      <c r="S25" s="215">
        <f t="array" ref="S25">SUMPRODUCT(C24:R24,C25:R25,'Cat 1'!C21:R21/1000)</f>
        <v/>
      </c>
      <c r="T25" s="199">
        <f>S25/1000</f>
        <v/>
      </c>
    </row>
    <row r="26" ht="18.5" customHeight="1" s="165">
      <c r="A26" s="152" t="inlineStr">
        <is>
          <t>Gwangju</t>
        </is>
      </c>
      <c r="B26" s="56" t="inlineStr">
        <is>
          <t>Transport Mode</t>
        </is>
      </c>
      <c r="C26" s="213" t="inlineStr">
        <is>
          <t>Truck</t>
        </is>
      </c>
      <c r="D26" s="213" t="inlineStr">
        <is>
          <t>Truck</t>
        </is>
      </c>
      <c r="E26" s="213" t="inlineStr">
        <is>
          <t>Truck</t>
        </is>
      </c>
      <c r="F26" s="213" t="inlineStr">
        <is>
          <t>Air</t>
        </is>
      </c>
      <c r="G26" s="213" t="inlineStr">
        <is>
          <t>Truck</t>
        </is>
      </c>
      <c r="H26" s="213" t="inlineStr">
        <is>
          <t>Truck</t>
        </is>
      </c>
      <c r="I26" s="213" t="inlineStr">
        <is>
          <t>Truck</t>
        </is>
      </c>
      <c r="J26" s="213" t="inlineStr">
        <is>
          <t>Truck</t>
        </is>
      </c>
      <c r="K26" s="213" t="inlineStr">
        <is>
          <t>Truck</t>
        </is>
      </c>
      <c r="L26" s="213" t="inlineStr">
        <is>
          <t>Truck</t>
        </is>
      </c>
      <c r="M26" s="213" t="inlineStr">
        <is>
          <t>Truck</t>
        </is>
      </c>
      <c r="N26" s="213" t="inlineStr">
        <is>
          <t>Truck</t>
        </is>
      </c>
      <c r="O26" s="213" t="inlineStr">
        <is>
          <t>Truck</t>
        </is>
      </c>
      <c r="P26" s="213" t="inlineStr">
        <is>
          <t>Truck</t>
        </is>
      </c>
      <c r="Q26" s="213" t="inlineStr">
        <is>
          <t>Truck</t>
        </is>
      </c>
      <c r="R26" s="214" t="inlineStr">
        <is>
          <t>Truck</t>
        </is>
      </c>
      <c r="S26" s="215" t="n"/>
      <c r="T26" s="199" t="n"/>
    </row>
    <row r="27" ht="17" customHeight="1" s="165">
      <c r="A27" s="210" t="n"/>
      <c r="B27" s="152" t="inlineStr">
        <is>
          <t>Emission Factor (Auto)</t>
        </is>
      </c>
      <c r="C27" s="216">
        <f>VLOOKUP(C26,$O$3:$P$6,2,0)</f>
        <v/>
      </c>
      <c r="D27" s="216">
        <f>VLOOKUP(D26,$O$3:$P$6,2,0)</f>
        <v/>
      </c>
      <c r="E27" s="216">
        <f>VLOOKUP(E26,$O$3:$P$6,2,0)</f>
        <v/>
      </c>
      <c r="F27" s="216">
        <f>VLOOKUP(F26,$O$3:$P$6,2,0)</f>
        <v/>
      </c>
      <c r="G27" s="216">
        <f>VLOOKUP(G26,$O$3:$P$6,2,0)</f>
        <v/>
      </c>
      <c r="H27" s="216">
        <f>VLOOKUP(H26,$O$3:$P$6,2,0)</f>
        <v/>
      </c>
      <c r="I27" s="216">
        <f>VLOOKUP(I26,$O$3:$P$6,2,0)</f>
        <v/>
      </c>
      <c r="J27" s="216">
        <f>VLOOKUP(J26,$O$3:$P$6,2,0)</f>
        <v/>
      </c>
      <c r="K27" s="216">
        <f>VLOOKUP(K26,$O$3:$P$6,2,0)</f>
        <v/>
      </c>
      <c r="L27" s="216">
        <f>VLOOKUP(L26,$O$3:$P$6,2,0)</f>
        <v/>
      </c>
      <c r="M27" s="216">
        <f>VLOOKUP(M26,$O$3:$P$6,2,0)</f>
        <v/>
      </c>
      <c r="N27" s="216">
        <f>VLOOKUP(N26,$O$3:$P$6,2,0)</f>
        <v/>
      </c>
      <c r="O27" s="216">
        <f>VLOOKUP(O26,$O$3:$P$6,2,0)</f>
        <v/>
      </c>
      <c r="P27" s="216">
        <f>VLOOKUP(P26,$O$3:$P$6,2,0)</f>
        <v/>
      </c>
      <c r="Q27" s="216">
        <f>VLOOKUP(Q26,$O$3:$P$6,2,0)</f>
        <v/>
      </c>
      <c r="R27" s="217">
        <f>VLOOKUP(R26,$O$3:$P$6,2,0)</f>
        <v/>
      </c>
      <c r="S27" s="218" t="n"/>
      <c r="T27" s="199" t="n"/>
    </row>
    <row r="28" ht="18.5" customHeight="1" s="165">
      <c r="A28" s="192" t="n"/>
      <c r="B28" s="57" t="inlineStr">
        <is>
          <t>Annual Travel Distance (km)</t>
        </is>
      </c>
      <c r="C28" s="25" t="n"/>
      <c r="D28" s="25" t="n"/>
      <c r="E28" s="25" t="n"/>
      <c r="F28" s="25" t="n"/>
      <c r="G28" s="25" t="n">
        <v>3840</v>
      </c>
      <c r="H28" s="25" t="n"/>
      <c r="I28" s="200" t="n">
        <v>3840</v>
      </c>
      <c r="J28" s="200" t="n">
        <v>1053</v>
      </c>
      <c r="K28" s="200" t="n">
        <v>5280</v>
      </c>
      <c r="L28" s="200" t="n">
        <v>2295</v>
      </c>
      <c r="M28" s="200" t="n">
        <v>2160</v>
      </c>
      <c r="N28" s="200" t="n">
        <v>540</v>
      </c>
      <c r="O28" s="200" t="n">
        <v>28485</v>
      </c>
      <c r="P28" s="200" t="n">
        <v>55890</v>
      </c>
      <c r="Q28" s="200" t="n">
        <v>10491.42857142857</v>
      </c>
      <c r="R28" s="219" t="n">
        <v>1728</v>
      </c>
      <c r="S28" s="215">
        <f t="array" ref="S28">SUMPRODUCT(C27:R27,C28:R28,'Cat 1'!C23:R23/1000)</f>
        <v/>
      </c>
      <c r="T28" s="199">
        <f>S28/1000</f>
        <v/>
      </c>
    </row>
    <row r="29" ht="18.5" customHeight="1" s="165">
      <c r="A29" s="152" t="inlineStr">
        <is>
          <t>Youngin</t>
        </is>
      </c>
      <c r="B29" s="56" t="inlineStr">
        <is>
          <t>Transport Mode</t>
        </is>
      </c>
      <c r="C29" s="213" t="inlineStr">
        <is>
          <t>Truck</t>
        </is>
      </c>
      <c r="D29" s="213" t="inlineStr">
        <is>
          <t>Truck</t>
        </is>
      </c>
      <c r="E29" s="213" t="inlineStr">
        <is>
          <t>Truck</t>
        </is>
      </c>
      <c r="F29" s="213" t="inlineStr">
        <is>
          <t>Air</t>
        </is>
      </c>
      <c r="G29" s="213" t="inlineStr">
        <is>
          <t>Truck</t>
        </is>
      </c>
      <c r="H29" s="213" t="inlineStr">
        <is>
          <t>Truck</t>
        </is>
      </c>
      <c r="I29" s="213" t="inlineStr">
        <is>
          <t>Truck</t>
        </is>
      </c>
      <c r="J29" s="213" t="inlineStr">
        <is>
          <t>Truck</t>
        </is>
      </c>
      <c r="K29" s="213" t="inlineStr">
        <is>
          <t>Truck</t>
        </is>
      </c>
      <c r="L29" s="213" t="inlineStr">
        <is>
          <t>Truck</t>
        </is>
      </c>
      <c r="M29" s="213" t="inlineStr">
        <is>
          <t>Truck</t>
        </is>
      </c>
      <c r="N29" s="213" t="inlineStr">
        <is>
          <t>Truck</t>
        </is>
      </c>
      <c r="O29" s="213" t="inlineStr">
        <is>
          <t>Truck</t>
        </is>
      </c>
      <c r="P29" s="213" t="inlineStr">
        <is>
          <t>Truck</t>
        </is>
      </c>
      <c r="Q29" s="213" t="inlineStr">
        <is>
          <t>Truck</t>
        </is>
      </c>
      <c r="R29" s="214" t="inlineStr">
        <is>
          <t>Truck</t>
        </is>
      </c>
      <c r="S29" s="215" t="n"/>
      <c r="T29" s="199" t="n"/>
    </row>
    <row r="30" ht="17" customHeight="1" s="165">
      <c r="A30" s="210" t="n"/>
      <c r="B30" s="152" t="inlineStr">
        <is>
          <t>Emission Factor (Auto)</t>
        </is>
      </c>
      <c r="C30" s="216">
        <f>VLOOKUP(C29,$O$3:$P$6,2,0)</f>
        <v/>
      </c>
      <c r="D30" s="216">
        <f>VLOOKUP(D29,$O$3:$P$6,2,0)</f>
        <v/>
      </c>
      <c r="E30" s="216">
        <f>VLOOKUP(E29,$O$3:$P$6,2,0)</f>
        <v/>
      </c>
      <c r="F30" s="216">
        <f>VLOOKUP(F29,$O$3:$P$6,2,0)</f>
        <v/>
      </c>
      <c r="G30" s="216">
        <f>VLOOKUP(G29,$O$3:$P$6,2,0)</f>
        <v/>
      </c>
      <c r="H30" s="216">
        <f>VLOOKUP(H29,$O$3:$P$6,2,0)</f>
        <v/>
      </c>
      <c r="I30" s="216">
        <f>VLOOKUP(I29,$O$3:$P$6,2,0)</f>
        <v/>
      </c>
      <c r="J30" s="216">
        <f>VLOOKUP(J29,$O$3:$P$6,2,0)</f>
        <v/>
      </c>
      <c r="K30" s="216">
        <f>VLOOKUP(K29,$O$3:$P$6,2,0)</f>
        <v/>
      </c>
      <c r="L30" s="216">
        <f>VLOOKUP(L29,$O$3:$P$6,2,0)</f>
        <v/>
      </c>
      <c r="M30" s="216">
        <f>VLOOKUP(M29,$O$3:$P$6,2,0)</f>
        <v/>
      </c>
      <c r="N30" s="216">
        <f>VLOOKUP(N29,$O$3:$P$6,2,0)</f>
        <v/>
      </c>
      <c r="O30" s="216">
        <f>VLOOKUP(O29,$O$3:$P$6,2,0)</f>
        <v/>
      </c>
      <c r="P30" s="216">
        <f>VLOOKUP(P29,$O$3:$P$6,2,0)</f>
        <v/>
      </c>
      <c r="Q30" s="216">
        <f>VLOOKUP(Q29,$O$3:$P$6,2,0)</f>
        <v/>
      </c>
      <c r="R30" s="217">
        <f>VLOOKUP(R29,$O$3:$P$6,2,0)</f>
        <v/>
      </c>
      <c r="S30" s="218" t="n"/>
      <c r="T30" s="199" t="n"/>
    </row>
    <row r="31" ht="18.5" customHeight="1" s="165">
      <c r="A31" s="192" t="n"/>
      <c r="B31" s="57" t="inlineStr">
        <is>
          <t>Annual Travel Distance (km)</t>
        </is>
      </c>
      <c r="C31" s="200" t="n">
        <v>1146.7</v>
      </c>
      <c r="D31" s="200" t="n">
        <v>1215</v>
      </c>
      <c r="E31" s="200" t="n">
        <v>2448</v>
      </c>
      <c r="F31" s="200" t="n"/>
      <c r="G31" s="200" t="n"/>
      <c r="H31" s="200" t="n"/>
      <c r="I31" s="200" t="n">
        <v>7800</v>
      </c>
      <c r="J31" s="200" t="n">
        <v>3107</v>
      </c>
      <c r="K31" s="200" t="n">
        <v>16896</v>
      </c>
      <c r="L31" s="200" t="n">
        <v>6996</v>
      </c>
      <c r="M31" s="200" t="n">
        <v>1452</v>
      </c>
      <c r="N31" s="200" t="n">
        <v>9976</v>
      </c>
      <c r="O31" s="200" t="n">
        <v>10976</v>
      </c>
      <c r="P31" s="200" t="n">
        <v>1885</v>
      </c>
      <c r="Q31" s="200" t="n"/>
      <c r="R31" s="219" t="n"/>
      <c r="S31" s="215">
        <f t="array" ref="S31">SUMPRODUCT(C30:R30,C31:R31,'Cat 1'!C25:R25/1000)</f>
        <v/>
      </c>
      <c r="T31" s="199">
        <f>S31/1000</f>
        <v/>
      </c>
    </row>
    <row r="32" ht="18.5" customHeight="1" s="165">
      <c r="A32" s="152" t="inlineStr">
        <is>
          <t>Beijing</t>
        </is>
      </c>
      <c r="B32" s="56" t="inlineStr">
        <is>
          <t>Transport Mode</t>
        </is>
      </c>
      <c r="C32" s="213" t="inlineStr">
        <is>
          <t>Truck</t>
        </is>
      </c>
      <c r="D32" s="213" t="inlineStr">
        <is>
          <t>Truck</t>
        </is>
      </c>
      <c r="E32" s="213" t="inlineStr">
        <is>
          <t>Truck</t>
        </is>
      </c>
      <c r="F32" s="213" t="inlineStr">
        <is>
          <t>Air</t>
        </is>
      </c>
      <c r="G32" s="213" t="inlineStr">
        <is>
          <t>Truck</t>
        </is>
      </c>
      <c r="H32" s="213" t="inlineStr">
        <is>
          <t>Truck</t>
        </is>
      </c>
      <c r="I32" s="213" t="inlineStr">
        <is>
          <t>Truck</t>
        </is>
      </c>
      <c r="J32" s="213" t="inlineStr">
        <is>
          <t>Truck</t>
        </is>
      </c>
      <c r="K32" s="213" t="inlineStr">
        <is>
          <t>Truck</t>
        </is>
      </c>
      <c r="L32" s="213" t="inlineStr">
        <is>
          <t>Truck</t>
        </is>
      </c>
      <c r="M32" s="213" t="inlineStr">
        <is>
          <t>Truck</t>
        </is>
      </c>
      <c r="N32" s="213" t="inlineStr">
        <is>
          <t>Truck</t>
        </is>
      </c>
      <c r="O32" s="213" t="inlineStr">
        <is>
          <t>Truck</t>
        </is>
      </c>
      <c r="P32" s="213" t="inlineStr">
        <is>
          <t>Truck</t>
        </is>
      </c>
      <c r="Q32" s="213" t="inlineStr">
        <is>
          <t>Truck</t>
        </is>
      </c>
      <c r="R32" s="214" t="inlineStr">
        <is>
          <t>Truck</t>
        </is>
      </c>
      <c r="S32" s="215" t="n"/>
      <c r="T32" s="199" t="n"/>
    </row>
    <row r="33" ht="17" customHeight="1" s="165">
      <c r="A33" s="210" t="n"/>
      <c r="B33" s="152" t="inlineStr">
        <is>
          <t>Emission Factor (Auto)</t>
        </is>
      </c>
      <c r="C33" s="216">
        <f>VLOOKUP(C32,$O$3:$P$6,2,0)</f>
        <v/>
      </c>
      <c r="D33" s="216">
        <f>VLOOKUP(D32,$O$3:$P$6,2,0)</f>
        <v/>
      </c>
      <c r="E33" s="216">
        <f>VLOOKUP(E32,$O$3:$P$6,2,0)</f>
        <v/>
      </c>
      <c r="F33" s="216">
        <f>VLOOKUP(F32,$O$3:$P$6,2,0)</f>
        <v/>
      </c>
      <c r="G33" s="216">
        <f>VLOOKUP(G32,$O$3:$P$6,2,0)</f>
        <v/>
      </c>
      <c r="H33" s="216">
        <f>VLOOKUP(H32,$O$3:$P$6,2,0)</f>
        <v/>
      </c>
      <c r="I33" s="216">
        <f>VLOOKUP(I32,$O$3:$P$6,2,0)</f>
        <v/>
      </c>
      <c r="J33" s="216">
        <f>VLOOKUP(J32,$O$3:$P$6,2,0)</f>
        <v/>
      </c>
      <c r="K33" s="216">
        <f>VLOOKUP(K32,$O$3:$P$6,2,0)</f>
        <v/>
      </c>
      <c r="L33" s="216">
        <f>VLOOKUP(L32,$O$3:$P$6,2,0)</f>
        <v/>
      </c>
      <c r="M33" s="216">
        <f>VLOOKUP(M32,$O$3:$P$6,2,0)</f>
        <v/>
      </c>
      <c r="N33" s="216">
        <f>VLOOKUP(N32,$O$3:$P$6,2,0)</f>
        <v/>
      </c>
      <c r="O33" s="216">
        <f>VLOOKUP(O32,$O$3:$P$6,2,0)</f>
        <v/>
      </c>
      <c r="P33" s="216">
        <f>VLOOKUP(P32,$O$3:$P$6,2,0)</f>
        <v/>
      </c>
      <c r="Q33" s="216">
        <f>VLOOKUP(Q32,$O$3:$P$6,2,0)</f>
        <v/>
      </c>
      <c r="R33" s="217">
        <f>VLOOKUP(R32,$O$3:$P$6,2,0)</f>
        <v/>
      </c>
      <c r="S33" s="218" t="n"/>
      <c r="T33" s="199" t="n"/>
    </row>
    <row r="34" ht="18.5" customHeight="1" s="165">
      <c r="A34" s="192" t="n"/>
      <c r="B34" s="57" t="inlineStr">
        <is>
          <t>Annual Travel Distance (km)</t>
        </is>
      </c>
      <c r="C34" s="200" t="n">
        <v>9540</v>
      </c>
      <c r="D34" s="200" t="n">
        <v>6360</v>
      </c>
      <c r="E34" s="200" t="n">
        <v>26040</v>
      </c>
      <c r="F34" s="200" t="n"/>
      <c r="G34" s="200" t="n">
        <v>15</v>
      </c>
      <c r="H34" s="200" t="n">
        <v>3600</v>
      </c>
      <c r="I34" s="200" t="n">
        <v>1050</v>
      </c>
      <c r="J34" s="200" t="n">
        <v>6000</v>
      </c>
      <c r="K34" s="200" t="n">
        <v>16800</v>
      </c>
      <c r="L34" s="200" t="n">
        <v>96000</v>
      </c>
      <c r="M34" s="200" t="n">
        <v>45600</v>
      </c>
      <c r="N34" s="200" t="n">
        <v>201600</v>
      </c>
      <c r="O34" s="200" t="n">
        <v>2880</v>
      </c>
      <c r="P34" s="200" t="n">
        <v>7200</v>
      </c>
      <c r="Q34" s="200" t="n">
        <v>43200</v>
      </c>
      <c r="R34" s="219" t="n">
        <v>600</v>
      </c>
      <c r="S34" s="215">
        <f t="array" ref="S34">SUMPRODUCT(C33:R33,C34:R34,'Cat 1'!C27:R27/1000)</f>
        <v/>
      </c>
      <c r="T34" s="199">
        <f>S34/1000</f>
        <v/>
      </c>
    </row>
    <row r="35" ht="18.5" customHeight="1" s="165">
      <c r="A35" s="152" t="inlineStr">
        <is>
          <t>Yancheng</t>
        </is>
      </c>
      <c r="B35" s="56" t="inlineStr">
        <is>
          <t>Transport Mode</t>
        </is>
      </c>
      <c r="C35" s="213" t="inlineStr">
        <is>
          <t>Rail</t>
        </is>
      </c>
      <c r="D35" s="213" t="inlineStr">
        <is>
          <t>Truck</t>
        </is>
      </c>
      <c r="E35" s="213" t="inlineStr">
        <is>
          <t>Truck</t>
        </is>
      </c>
      <c r="F35" s="213" t="inlineStr">
        <is>
          <t>Air</t>
        </is>
      </c>
      <c r="G35" s="213" t="inlineStr">
        <is>
          <t>Truck</t>
        </is>
      </c>
      <c r="H35" s="213" t="inlineStr">
        <is>
          <t>Truck</t>
        </is>
      </c>
      <c r="I35" s="213" t="inlineStr">
        <is>
          <t>Truck</t>
        </is>
      </c>
      <c r="J35" s="213" t="inlineStr">
        <is>
          <t>Truck</t>
        </is>
      </c>
      <c r="K35" s="213" t="inlineStr">
        <is>
          <t>Truck</t>
        </is>
      </c>
      <c r="L35" s="213" t="inlineStr">
        <is>
          <t>Truck</t>
        </is>
      </c>
      <c r="M35" s="213" t="inlineStr">
        <is>
          <t>Truck</t>
        </is>
      </c>
      <c r="N35" s="213" t="inlineStr">
        <is>
          <t>Truck</t>
        </is>
      </c>
      <c r="O35" s="213" t="inlineStr">
        <is>
          <t>Truck</t>
        </is>
      </c>
      <c r="P35" s="213" t="inlineStr">
        <is>
          <t>Truck</t>
        </is>
      </c>
      <c r="Q35" s="213" t="inlineStr">
        <is>
          <t>Truck</t>
        </is>
      </c>
      <c r="R35" s="214" t="inlineStr">
        <is>
          <t>Truck</t>
        </is>
      </c>
      <c r="S35" s="215" t="n"/>
      <c r="T35" s="199" t="n"/>
    </row>
    <row r="36" ht="17" customHeight="1" s="165">
      <c r="A36" s="210" t="n"/>
      <c r="B36" s="152" t="inlineStr">
        <is>
          <t>Emission Factor (Auto)</t>
        </is>
      </c>
      <c r="C36" s="216">
        <f>VLOOKUP(C35,$O$3:$P$6,2,0)</f>
        <v/>
      </c>
      <c r="D36" s="216">
        <f>VLOOKUP(D35,$O$3:$P$6,2,0)</f>
        <v/>
      </c>
      <c r="E36" s="216">
        <f>VLOOKUP(E35,$O$3:$P$6,2,0)</f>
        <v/>
      </c>
      <c r="F36" s="216">
        <f>VLOOKUP(F35,$O$3:$P$6,2,0)</f>
        <v/>
      </c>
      <c r="G36" s="216">
        <f>VLOOKUP(G35,$O$3:$P$6,2,0)</f>
        <v/>
      </c>
      <c r="H36" s="216">
        <f>VLOOKUP(H35,$O$3:$P$6,2,0)</f>
        <v/>
      </c>
      <c r="I36" s="216">
        <f>VLOOKUP(I35,$O$3:$P$6,2,0)</f>
        <v/>
      </c>
      <c r="J36" s="216">
        <f>VLOOKUP(J35,$O$3:$P$6,2,0)</f>
        <v/>
      </c>
      <c r="K36" s="216">
        <f>VLOOKUP(K35,$O$3:$P$6,2,0)</f>
        <v/>
      </c>
      <c r="L36" s="216">
        <f>VLOOKUP(L35,$O$3:$P$6,2,0)</f>
        <v/>
      </c>
      <c r="M36" s="216">
        <f>VLOOKUP(M35,$O$3:$P$6,2,0)</f>
        <v/>
      </c>
      <c r="N36" s="216">
        <f>VLOOKUP(N35,$O$3:$P$6,2,0)</f>
        <v/>
      </c>
      <c r="O36" s="216">
        <f>VLOOKUP(O35,$O$3:$P$6,2,0)</f>
        <v/>
      </c>
      <c r="P36" s="216">
        <f>VLOOKUP(P35,$O$3:$P$6,2,0)</f>
        <v/>
      </c>
      <c r="Q36" s="216">
        <f>VLOOKUP(Q35,$O$3:$P$6,2,0)</f>
        <v/>
      </c>
      <c r="R36" s="217">
        <f>VLOOKUP(R35,$O$3:$P$6,2,0)</f>
        <v/>
      </c>
      <c r="S36" s="218" t="n"/>
      <c r="T36" s="199" t="n"/>
    </row>
    <row r="37" ht="18.5" customHeight="1" s="165">
      <c r="A37" s="192" t="n"/>
      <c r="B37" s="57" t="inlineStr">
        <is>
          <t>Annual Travel Distance (km)</t>
        </is>
      </c>
      <c r="C37" s="25" t="n"/>
      <c r="D37" s="25" t="n">
        <v>17576.4</v>
      </c>
      <c r="E37" s="25" t="n">
        <v>14013.6</v>
      </c>
      <c r="F37" s="25" t="n"/>
      <c r="G37" s="25" t="n"/>
      <c r="H37" s="25" t="n"/>
      <c r="I37" s="25" t="n">
        <v>4320</v>
      </c>
      <c r="J37" s="25" t="n">
        <v>7956</v>
      </c>
      <c r="K37" s="25" t="n">
        <v>5553.6</v>
      </c>
      <c r="L37" s="25" t="n">
        <v>8838</v>
      </c>
      <c r="M37" s="25" t="n">
        <v>504</v>
      </c>
      <c r="N37" s="25" t="n">
        <v>782.4</v>
      </c>
      <c r="O37" s="25" t="n"/>
      <c r="P37" s="25" t="n"/>
      <c r="Q37" s="25" t="n"/>
      <c r="R37" s="26" t="n"/>
      <c r="S37" s="215">
        <f t="array" ref="S37">SUMPRODUCT(C36:R36,C37:R37,'Cat 1'!C29:R29/1000)</f>
        <v/>
      </c>
      <c r="T37" s="199">
        <f>S37/1000</f>
        <v/>
      </c>
    </row>
    <row r="38" ht="18.5" customHeight="1" s="165">
      <c r="A38" s="152" t="inlineStr">
        <is>
          <t>Mannur</t>
        </is>
      </c>
      <c r="B38" s="56" t="inlineStr">
        <is>
          <t>Transport Mode</t>
        </is>
      </c>
      <c r="C38" s="213" t="inlineStr">
        <is>
          <t>Truck</t>
        </is>
      </c>
      <c r="D38" s="213" t="inlineStr">
        <is>
          <t>Truck</t>
        </is>
      </c>
      <c r="E38" s="213" t="inlineStr">
        <is>
          <t>Truck</t>
        </is>
      </c>
      <c r="F38" s="213" t="inlineStr">
        <is>
          <t>Truck</t>
        </is>
      </c>
      <c r="G38" s="213" t="inlineStr">
        <is>
          <t>Truck</t>
        </is>
      </c>
      <c r="H38" s="213" t="inlineStr">
        <is>
          <t>Truck</t>
        </is>
      </c>
      <c r="I38" s="213" t="inlineStr">
        <is>
          <t>Truck</t>
        </is>
      </c>
      <c r="J38" s="213" t="inlineStr">
        <is>
          <t>Truck</t>
        </is>
      </c>
      <c r="K38" s="213" t="inlineStr">
        <is>
          <t>Truck</t>
        </is>
      </c>
      <c r="L38" s="213" t="inlineStr">
        <is>
          <t>Ocean Vessel</t>
        </is>
      </c>
      <c r="M38" s="213" t="inlineStr">
        <is>
          <t>Truck</t>
        </is>
      </c>
      <c r="N38" s="213" t="inlineStr">
        <is>
          <t>Truck</t>
        </is>
      </c>
      <c r="O38" s="213" t="inlineStr">
        <is>
          <t>Truck</t>
        </is>
      </c>
      <c r="P38" s="213" t="inlineStr">
        <is>
          <t>Truck</t>
        </is>
      </c>
      <c r="Q38" s="213" t="inlineStr">
        <is>
          <t>Truck</t>
        </is>
      </c>
      <c r="R38" s="214" t="inlineStr">
        <is>
          <t>Truck</t>
        </is>
      </c>
      <c r="S38" s="215" t="n"/>
      <c r="T38" s="199" t="n"/>
    </row>
    <row r="39" ht="17" customHeight="1" s="165">
      <c r="A39" s="210" t="n"/>
      <c r="B39" s="152" t="inlineStr">
        <is>
          <t>Emission Factor (Auto)</t>
        </is>
      </c>
      <c r="C39" s="216">
        <f>VLOOKUP(C38,$O$3:$P$6,2,0)</f>
        <v/>
      </c>
      <c r="D39" s="216">
        <f>VLOOKUP(D38,$O$3:$P$6,2,0)</f>
        <v/>
      </c>
      <c r="E39" s="216">
        <f>VLOOKUP(E38,$O$3:$P$6,2,0)</f>
        <v/>
      </c>
      <c r="F39" s="216">
        <f>VLOOKUP(F38,$O$3:$P$6,2,0)</f>
        <v/>
      </c>
      <c r="G39" s="216">
        <f>VLOOKUP(G38,$O$3:$P$6,2,0)</f>
        <v/>
      </c>
      <c r="H39" s="216">
        <f>VLOOKUP(H38,$O$3:$P$6,2,0)</f>
        <v/>
      </c>
      <c r="I39" s="216">
        <f>VLOOKUP(I38,$O$3:$P$6,2,0)</f>
        <v/>
      </c>
      <c r="J39" s="216">
        <f>VLOOKUP(J38,$O$3:$P$6,2,0)</f>
        <v/>
      </c>
      <c r="K39" s="216">
        <f>VLOOKUP(K38,$O$3:$P$6,2,0)</f>
        <v/>
      </c>
      <c r="L39" s="216">
        <f>VLOOKUP(L38,$O$3:$P$6,2,0)</f>
        <v/>
      </c>
      <c r="M39" s="216">
        <f>VLOOKUP(M38,$O$3:$P$6,2,0)</f>
        <v/>
      </c>
      <c r="N39" s="216">
        <f>VLOOKUP(N38,$O$3:$P$6,2,0)</f>
        <v/>
      </c>
      <c r="O39" s="216">
        <f>VLOOKUP(O38,$O$3:$P$6,2,0)</f>
        <v/>
      </c>
      <c r="P39" s="216">
        <f>VLOOKUP(P38,$O$3:$P$6,2,0)</f>
        <v/>
      </c>
      <c r="Q39" s="216">
        <f>VLOOKUP(Q38,$O$3:$P$6,2,0)</f>
        <v/>
      </c>
      <c r="R39" s="217">
        <f>VLOOKUP(R38,$O$3:$P$6,2,0)</f>
        <v/>
      </c>
      <c r="S39" s="218" t="n"/>
      <c r="T39" s="199" t="n"/>
    </row>
    <row r="40" ht="18.5" customHeight="1" s="165">
      <c r="A40" s="192" t="n"/>
      <c r="B40" s="57" t="inlineStr">
        <is>
          <t>Annual Travel Distance (km)</t>
        </is>
      </c>
      <c r="C40" s="25" t="n">
        <v>40111.4039142857</v>
      </c>
      <c r="D40" s="25" t="n"/>
      <c r="E40" s="25" t="n">
        <v>31345.775315</v>
      </c>
      <c r="F40" s="25" t="n">
        <v>316.28898</v>
      </c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6" t="n"/>
      <c r="S40" s="215">
        <f t="array" ref="S40">SUMPRODUCT(C39:R39,C40:R40,'Cat 1'!C31:R31/1000)</f>
        <v/>
      </c>
      <c r="T40" s="199">
        <f>S40/1000</f>
        <v/>
      </c>
    </row>
    <row r="41" ht="18.5" customHeight="1" s="165">
      <c r="A41" s="152" t="inlineStr">
        <is>
          <t>Orgadam</t>
        </is>
      </c>
      <c r="B41" s="56" t="inlineStr">
        <is>
          <t>Transport Mode</t>
        </is>
      </c>
      <c r="C41" s="213" t="inlineStr">
        <is>
          <t>Truck</t>
        </is>
      </c>
      <c r="D41" s="213" t="inlineStr">
        <is>
          <t>Truck</t>
        </is>
      </c>
      <c r="E41" s="213" t="inlineStr">
        <is>
          <t>Truck</t>
        </is>
      </c>
      <c r="F41" s="213" t="inlineStr">
        <is>
          <t>Truck</t>
        </is>
      </c>
      <c r="G41" s="213" t="inlineStr">
        <is>
          <t>Truck</t>
        </is>
      </c>
      <c r="H41" s="213" t="inlineStr">
        <is>
          <t>Truck</t>
        </is>
      </c>
      <c r="I41" s="213" t="inlineStr">
        <is>
          <t>Truck</t>
        </is>
      </c>
      <c r="J41" s="213" t="inlineStr">
        <is>
          <t>Truck</t>
        </is>
      </c>
      <c r="K41" s="213" t="inlineStr">
        <is>
          <t>Truck</t>
        </is>
      </c>
      <c r="L41" s="213" t="inlineStr">
        <is>
          <t>Ocean Vessel</t>
        </is>
      </c>
      <c r="M41" s="213" t="inlineStr">
        <is>
          <t>Truck</t>
        </is>
      </c>
      <c r="N41" s="213" t="inlineStr">
        <is>
          <t>Truck</t>
        </is>
      </c>
      <c r="O41" s="213" t="inlineStr">
        <is>
          <t>Truck</t>
        </is>
      </c>
      <c r="P41" s="213" t="inlineStr">
        <is>
          <t>Truck</t>
        </is>
      </c>
      <c r="Q41" s="213" t="inlineStr">
        <is>
          <t>Truck</t>
        </is>
      </c>
      <c r="R41" s="214" t="inlineStr">
        <is>
          <t>Truck</t>
        </is>
      </c>
      <c r="S41" s="215" t="n"/>
      <c r="T41" s="199" t="n"/>
    </row>
    <row r="42" ht="17" customHeight="1" s="165">
      <c r="A42" s="210" t="n"/>
      <c r="B42" s="152" t="inlineStr">
        <is>
          <t>Emission Factor (Auto)</t>
        </is>
      </c>
      <c r="C42" s="216">
        <f>VLOOKUP(C41,$O$3:$P$6,2,0)</f>
        <v/>
      </c>
      <c r="D42" s="216">
        <f>VLOOKUP(D41,$O$3:$P$6,2,0)</f>
        <v/>
      </c>
      <c r="E42" s="216">
        <f>VLOOKUP(E41,$O$3:$P$6,2,0)</f>
        <v/>
      </c>
      <c r="F42" s="216">
        <f>VLOOKUP(F41,$O$3:$P$6,2,0)</f>
        <v/>
      </c>
      <c r="G42" s="216">
        <f>VLOOKUP(G41,$O$3:$P$6,2,0)</f>
        <v/>
      </c>
      <c r="H42" s="216">
        <f>VLOOKUP(H41,$O$3:$P$6,2,0)</f>
        <v/>
      </c>
      <c r="I42" s="216">
        <f>VLOOKUP(I41,$O$3:$P$6,2,0)</f>
        <v/>
      </c>
      <c r="J42" s="216">
        <f>VLOOKUP(J41,$O$3:$P$6,2,0)</f>
        <v/>
      </c>
      <c r="K42" s="216">
        <f>VLOOKUP(K41,$O$3:$P$6,2,0)</f>
        <v/>
      </c>
      <c r="L42" s="216">
        <f>VLOOKUP(L41,$O$3:$P$6,2,0)</f>
        <v/>
      </c>
      <c r="M42" s="216">
        <f>VLOOKUP(M41,$O$3:$P$6,2,0)</f>
        <v/>
      </c>
      <c r="N42" s="216">
        <f>VLOOKUP(N41,$O$3:$P$6,2,0)</f>
        <v/>
      </c>
      <c r="O42" s="216">
        <f>VLOOKUP(O41,$O$3:$P$6,2,0)</f>
        <v/>
      </c>
      <c r="P42" s="216">
        <f>VLOOKUP(P41,$O$3:$P$6,2,0)</f>
        <v/>
      </c>
      <c r="Q42" s="216">
        <f>VLOOKUP(Q41,$O$3:$P$6,2,0)</f>
        <v/>
      </c>
      <c r="R42" s="217">
        <f>VLOOKUP(R41,$O$3:$P$6,2,0)</f>
        <v/>
      </c>
      <c r="S42" s="218" t="n"/>
      <c r="T42" s="199" t="n"/>
    </row>
    <row r="43" ht="18.5" customHeight="1" s="165">
      <c r="A43" s="192" t="n"/>
      <c r="B43" s="57" t="inlineStr">
        <is>
          <t>Annual Travel Distance (km)</t>
        </is>
      </c>
      <c r="C43" s="25" t="n">
        <v>33959.97735466666</v>
      </c>
      <c r="D43" s="25" t="n">
        <v>12331.738</v>
      </c>
      <c r="E43" s="25" t="n">
        <v>38519.8180856148</v>
      </c>
      <c r="F43" s="25" t="n">
        <v>8177.99332</v>
      </c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6" t="n"/>
      <c r="S43" s="215">
        <f t="array" ref="S43">SUMPRODUCT(C42:R42,C43:R43,'Cat 1'!C33:R33/1000)</f>
        <v/>
      </c>
      <c r="T43" s="199">
        <f>S43/1000</f>
        <v/>
      </c>
    </row>
    <row r="44" ht="18.5" customHeight="1" s="165">
      <c r="A44" s="152" t="inlineStr">
        <is>
          <t>Bangalore</t>
        </is>
      </c>
      <c r="B44" s="56" t="inlineStr">
        <is>
          <t>Transport Mode</t>
        </is>
      </c>
      <c r="C44" s="213" t="inlineStr">
        <is>
          <t>Truck</t>
        </is>
      </c>
      <c r="D44" s="213" t="inlineStr">
        <is>
          <t>Truck</t>
        </is>
      </c>
      <c r="E44" s="213" t="inlineStr">
        <is>
          <t>Truck</t>
        </is>
      </c>
      <c r="F44" s="213" t="inlineStr">
        <is>
          <t>Air</t>
        </is>
      </c>
      <c r="G44" s="213" t="inlineStr">
        <is>
          <t>Truck</t>
        </is>
      </c>
      <c r="H44" s="213" t="inlineStr">
        <is>
          <t>Truck</t>
        </is>
      </c>
      <c r="I44" s="213" t="inlineStr">
        <is>
          <t>Truck</t>
        </is>
      </c>
      <c r="J44" s="213" t="inlineStr">
        <is>
          <t>Truck</t>
        </is>
      </c>
      <c r="K44" s="213" t="inlineStr">
        <is>
          <t>Truck</t>
        </is>
      </c>
      <c r="L44" s="213" t="inlineStr">
        <is>
          <t>Ocean Vessel</t>
        </is>
      </c>
      <c r="M44" s="213" t="inlineStr">
        <is>
          <t>Truck</t>
        </is>
      </c>
      <c r="N44" s="213" t="inlineStr">
        <is>
          <t>Truck</t>
        </is>
      </c>
      <c r="O44" s="213" t="inlineStr">
        <is>
          <t>Truck</t>
        </is>
      </c>
      <c r="P44" s="213" t="inlineStr">
        <is>
          <t>Truck</t>
        </is>
      </c>
      <c r="Q44" s="213" t="inlineStr">
        <is>
          <t>Truck</t>
        </is>
      </c>
      <c r="R44" s="214" t="inlineStr">
        <is>
          <t>Truck</t>
        </is>
      </c>
      <c r="S44" s="215" t="n"/>
      <c r="T44" s="199" t="n"/>
    </row>
    <row r="45" ht="17" customHeight="1" s="165">
      <c r="A45" s="210" t="n"/>
      <c r="B45" s="152" t="inlineStr">
        <is>
          <t>Emission Factor (Auto)</t>
        </is>
      </c>
      <c r="C45" s="216">
        <f>VLOOKUP(C44,$O$3:$P$6,2,0)</f>
        <v/>
      </c>
      <c r="D45" s="216">
        <f>VLOOKUP(D44,$O$3:$P$6,2,0)</f>
        <v/>
      </c>
      <c r="E45" s="216">
        <f>VLOOKUP(E44,$O$3:$P$6,2,0)</f>
        <v/>
      </c>
      <c r="F45" s="216">
        <f>VLOOKUP(F44,$O$3:$P$6,2,0)</f>
        <v/>
      </c>
      <c r="G45" s="216">
        <f>VLOOKUP(G44,$O$3:$P$6,2,0)</f>
        <v/>
      </c>
      <c r="H45" s="216">
        <f>VLOOKUP(H44,$O$3:$P$6,2,0)</f>
        <v/>
      </c>
      <c r="I45" s="216">
        <f>VLOOKUP(I44,$O$3:$P$6,2,0)</f>
        <v/>
      </c>
      <c r="J45" s="216">
        <f>VLOOKUP(J44,$O$3:$P$6,2,0)</f>
        <v/>
      </c>
      <c r="K45" s="216">
        <f>VLOOKUP(K44,$O$3:$P$6,2,0)</f>
        <v/>
      </c>
      <c r="L45" s="216">
        <f>VLOOKUP(L44,$O$3:$P$6,2,0)</f>
        <v/>
      </c>
      <c r="M45" s="216">
        <f>VLOOKUP(M44,$O$3:$P$6,2,0)</f>
        <v/>
      </c>
      <c r="N45" s="216">
        <f>VLOOKUP(N44,$O$3:$P$6,2,0)</f>
        <v/>
      </c>
      <c r="O45" s="216">
        <f>VLOOKUP(O44,$O$3:$P$6,2,0)</f>
        <v/>
      </c>
      <c r="P45" s="216">
        <f>VLOOKUP(P44,$O$3:$P$6,2,0)</f>
        <v/>
      </c>
      <c r="Q45" s="216">
        <f>VLOOKUP(Q44,$O$3:$P$6,2,0)</f>
        <v/>
      </c>
      <c r="R45" s="217">
        <f>VLOOKUP(R44,$O$3:$P$6,2,0)</f>
        <v/>
      </c>
      <c r="S45" s="218" t="n"/>
      <c r="T45" s="199" t="n"/>
    </row>
    <row r="46" ht="18.5" customHeight="1" s="165">
      <c r="A46" s="192" t="n"/>
      <c r="B46" s="57" t="inlineStr">
        <is>
          <t>Annual Travel Distance (km)</t>
        </is>
      </c>
      <c r="C46" s="25" t="n">
        <v>129600</v>
      </c>
      <c r="D46" s="25" t="n">
        <v>58800</v>
      </c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6" t="n"/>
      <c r="S46" s="215">
        <f t="array" ref="S46">SUMPRODUCT(C45:R45,C46:R46,'Cat 1'!C35:R35/1000)</f>
        <v/>
      </c>
      <c r="T46" s="199">
        <f>S46/1000</f>
        <v/>
      </c>
    </row>
    <row r="47" ht="18.5" customHeight="1" s="165">
      <c r="A47" s="152" t="inlineStr">
        <is>
          <t>Pune</t>
        </is>
      </c>
      <c r="B47" s="56" t="inlineStr">
        <is>
          <t>Transport Mode</t>
        </is>
      </c>
      <c r="C47" s="213" t="inlineStr">
        <is>
          <t>Rail</t>
        </is>
      </c>
      <c r="D47" s="213" t="inlineStr">
        <is>
          <t>Truck</t>
        </is>
      </c>
      <c r="E47" s="213" t="inlineStr">
        <is>
          <t>Truck</t>
        </is>
      </c>
      <c r="F47" s="213" t="inlineStr">
        <is>
          <t>Air</t>
        </is>
      </c>
      <c r="G47" s="213" t="inlineStr">
        <is>
          <t>Truck</t>
        </is>
      </c>
      <c r="H47" s="213" t="inlineStr">
        <is>
          <t>Truck</t>
        </is>
      </c>
      <c r="I47" s="213" t="inlineStr">
        <is>
          <t>Truck</t>
        </is>
      </c>
      <c r="J47" s="213" t="inlineStr">
        <is>
          <t>Truck</t>
        </is>
      </c>
      <c r="K47" s="213" t="inlineStr">
        <is>
          <t>Truck</t>
        </is>
      </c>
      <c r="L47" s="213" t="inlineStr">
        <is>
          <t>Ocean Vessel</t>
        </is>
      </c>
      <c r="M47" s="213" t="inlineStr">
        <is>
          <t>Truck</t>
        </is>
      </c>
      <c r="N47" s="213" t="inlineStr">
        <is>
          <t>Truck</t>
        </is>
      </c>
      <c r="O47" s="213" t="inlineStr">
        <is>
          <t>Truck</t>
        </is>
      </c>
      <c r="P47" s="213" t="inlineStr">
        <is>
          <t>Truck</t>
        </is>
      </c>
      <c r="Q47" s="213" t="inlineStr">
        <is>
          <t>Truck</t>
        </is>
      </c>
      <c r="R47" s="214" t="inlineStr">
        <is>
          <t>Truck</t>
        </is>
      </c>
      <c r="S47" s="215" t="n"/>
      <c r="T47" s="199" t="n"/>
    </row>
    <row r="48" ht="17" customHeight="1" s="165">
      <c r="A48" s="210" t="n"/>
      <c r="B48" s="152" t="inlineStr">
        <is>
          <t>Emission Factor (Auto)</t>
        </is>
      </c>
      <c r="C48" s="216">
        <f>VLOOKUP(C47,$O$3:$P$6,2,0)</f>
        <v/>
      </c>
      <c r="D48" s="216">
        <f>VLOOKUP(D47,$O$3:$P$6,2,0)</f>
        <v/>
      </c>
      <c r="E48" s="216">
        <f>VLOOKUP(E47,$O$3:$P$6,2,0)</f>
        <v/>
      </c>
      <c r="F48" s="216">
        <f>VLOOKUP(F47,$O$3:$P$6,2,0)</f>
        <v/>
      </c>
      <c r="G48" s="216">
        <f>VLOOKUP(G47,$O$3:$P$6,2,0)</f>
        <v/>
      </c>
      <c r="H48" s="216">
        <f>VLOOKUP(H47,$O$3:$P$6,2,0)</f>
        <v/>
      </c>
      <c r="I48" s="216">
        <f>VLOOKUP(I47,$O$3:$P$6,2,0)</f>
        <v/>
      </c>
      <c r="J48" s="216">
        <f>VLOOKUP(J47,$O$3:$P$6,2,0)</f>
        <v/>
      </c>
      <c r="K48" s="216">
        <f>VLOOKUP(K47,$O$3:$P$6,2,0)</f>
        <v/>
      </c>
      <c r="L48" s="216">
        <f>VLOOKUP(L47,$O$3:$P$6,2,0)</f>
        <v/>
      </c>
      <c r="M48" s="216">
        <f>VLOOKUP(M47,$O$3:$P$6,2,0)</f>
        <v/>
      </c>
      <c r="N48" s="216">
        <f>VLOOKUP(N47,$O$3:$P$6,2,0)</f>
        <v/>
      </c>
      <c r="O48" s="216">
        <f>VLOOKUP(O47,$O$3:$P$6,2,0)</f>
        <v/>
      </c>
      <c r="P48" s="216">
        <f>VLOOKUP(P47,$O$3:$P$6,2,0)</f>
        <v/>
      </c>
      <c r="Q48" s="216">
        <f>VLOOKUP(Q47,$O$3:$P$6,2,0)</f>
        <v/>
      </c>
      <c r="R48" s="217">
        <f>VLOOKUP(R47,$O$3:$P$6,2,0)</f>
        <v/>
      </c>
      <c r="S48" s="218" t="n"/>
      <c r="T48" s="199" t="n"/>
    </row>
    <row r="49" ht="18.5" customHeight="1" s="165">
      <c r="A49" s="192" t="n"/>
      <c r="B49" s="57" t="inlineStr">
        <is>
          <t>Annual Travel Distance (km)</t>
        </is>
      </c>
      <c r="C49" s="25" t="n"/>
      <c r="D49" s="25" t="n"/>
      <c r="E49" s="25" t="n"/>
      <c r="F49" s="25" t="n"/>
      <c r="G49" s="25" t="n"/>
      <c r="H49" s="25" t="n"/>
      <c r="I49" s="25" t="n"/>
      <c r="J49" s="27" t="n"/>
      <c r="K49" s="25" t="n"/>
      <c r="L49" s="25" t="n"/>
      <c r="M49" s="25" t="n"/>
      <c r="N49" s="25" t="n"/>
      <c r="O49" s="25" t="n"/>
      <c r="P49" s="25" t="n"/>
      <c r="Q49" s="25" t="n"/>
      <c r="R49" s="26" t="n"/>
      <c r="S49" s="215">
        <f t="array" ref="S49">SUMPRODUCT(C48:R48,C49:R49,'Cat 1'!C37:R37/1000)</f>
        <v/>
      </c>
      <c r="T49" s="199">
        <f>S49/1000</f>
        <v/>
      </c>
    </row>
    <row r="50" ht="18.5" customHeight="1" s="165">
      <c r="A50" s="152" t="inlineStr">
        <is>
          <t>Trzyniec</t>
        </is>
      </c>
      <c r="B50" s="56" t="inlineStr">
        <is>
          <t>Transport Mode</t>
        </is>
      </c>
      <c r="C50" s="213" t="inlineStr">
        <is>
          <t>Rail</t>
        </is>
      </c>
      <c r="D50" s="213" t="inlineStr">
        <is>
          <t>Truck</t>
        </is>
      </c>
      <c r="E50" s="213" t="inlineStr">
        <is>
          <t>Truck</t>
        </is>
      </c>
      <c r="F50" s="213" t="inlineStr">
        <is>
          <t>Air</t>
        </is>
      </c>
      <c r="G50" s="213" t="inlineStr">
        <is>
          <t>Truck</t>
        </is>
      </c>
      <c r="H50" s="213" t="inlineStr">
        <is>
          <t>Truck</t>
        </is>
      </c>
      <c r="I50" s="213" t="inlineStr">
        <is>
          <t>Truck</t>
        </is>
      </c>
      <c r="J50" s="213" t="inlineStr">
        <is>
          <t>Truck</t>
        </is>
      </c>
      <c r="K50" s="213" t="inlineStr">
        <is>
          <t>Truck</t>
        </is>
      </c>
      <c r="L50" s="213" t="inlineStr">
        <is>
          <t>Ocean Vessel</t>
        </is>
      </c>
      <c r="M50" s="213" t="inlineStr">
        <is>
          <t>Truck</t>
        </is>
      </c>
      <c r="N50" s="213" t="inlineStr">
        <is>
          <t>Truck</t>
        </is>
      </c>
      <c r="O50" s="213" t="inlineStr">
        <is>
          <t>Truck</t>
        </is>
      </c>
      <c r="P50" s="213" t="inlineStr">
        <is>
          <t>Truck</t>
        </is>
      </c>
      <c r="Q50" s="213" t="inlineStr">
        <is>
          <t>Truck</t>
        </is>
      </c>
      <c r="R50" s="214" t="inlineStr">
        <is>
          <t>Truck</t>
        </is>
      </c>
      <c r="S50" s="215" t="n"/>
      <c r="T50" s="199" t="n"/>
    </row>
    <row r="51" ht="17" customHeight="1" s="165">
      <c r="A51" s="210" t="n"/>
      <c r="B51" s="152" t="inlineStr">
        <is>
          <t>Emission Factor (Auto)</t>
        </is>
      </c>
      <c r="C51" s="216">
        <f>VLOOKUP(C50,$O$3:$P$6,2,0)</f>
        <v/>
      </c>
      <c r="D51" s="216">
        <f>VLOOKUP(D50,$O$3:$P$6,2,0)</f>
        <v/>
      </c>
      <c r="E51" s="216">
        <f>VLOOKUP(E50,$O$3:$P$6,2,0)</f>
        <v/>
      </c>
      <c r="F51" s="216">
        <f>VLOOKUP(F50,$O$3:$P$6,2,0)</f>
        <v/>
      </c>
      <c r="G51" s="216">
        <f>VLOOKUP(G50,$O$3:$P$6,2,0)</f>
        <v/>
      </c>
      <c r="H51" s="216">
        <f>VLOOKUP(H50,$O$3:$P$6,2,0)</f>
        <v/>
      </c>
      <c r="I51" s="216">
        <f>VLOOKUP(I50,$O$3:$P$6,2,0)</f>
        <v/>
      </c>
      <c r="J51" s="216">
        <f>VLOOKUP(J50,$O$3:$P$6,2,0)</f>
        <v/>
      </c>
      <c r="K51" s="216">
        <f>VLOOKUP(K50,$O$3:$P$6,2,0)</f>
        <v/>
      </c>
      <c r="L51" s="216">
        <f>VLOOKUP(L50,$O$3:$P$6,2,0)</f>
        <v/>
      </c>
      <c r="M51" s="216">
        <f>VLOOKUP(M50,$O$3:$P$6,2,0)</f>
        <v/>
      </c>
      <c r="N51" s="216">
        <f>VLOOKUP(N50,$O$3:$P$6,2,0)</f>
        <v/>
      </c>
      <c r="O51" s="216">
        <f>VLOOKUP(O50,$O$3:$P$6,2,0)</f>
        <v/>
      </c>
      <c r="P51" s="216">
        <f>VLOOKUP(P50,$O$3:$P$6,2,0)</f>
        <v/>
      </c>
      <c r="Q51" s="216">
        <f>VLOOKUP(Q50,$O$3:$P$6,2,0)</f>
        <v/>
      </c>
      <c r="R51" s="217">
        <f>VLOOKUP(R50,$O$3:$P$6,2,0)</f>
        <v/>
      </c>
      <c r="S51" s="218" t="n"/>
      <c r="T51" s="199" t="n"/>
    </row>
    <row r="52" ht="18.5" customHeight="1" s="165">
      <c r="A52" s="192" t="n"/>
      <c r="B52" s="57" t="inlineStr">
        <is>
          <t>Annual Travel Distance (km)</t>
        </is>
      </c>
      <c r="C52" s="25" t="n"/>
      <c r="D52" s="25" t="n"/>
      <c r="E52" s="25" t="n"/>
      <c r="F52" s="25" t="n"/>
      <c r="G52" s="25" t="n"/>
      <c r="H52" s="25" t="n"/>
      <c r="I52" s="25" t="n"/>
      <c r="J52" s="27" t="n"/>
      <c r="K52" s="25" t="n"/>
      <c r="L52" s="25" t="n"/>
      <c r="M52" s="25" t="n"/>
      <c r="N52" s="25" t="n"/>
      <c r="O52" s="25" t="n"/>
      <c r="P52" s="25" t="n"/>
      <c r="Q52" s="25" t="n"/>
      <c r="R52" s="26" t="n"/>
      <c r="S52" s="215">
        <f t="array" ref="S52">SUMPRODUCT(C51:R51,C52:R52,'Cat 1'!C39:R39/1000)</f>
        <v/>
      </c>
      <c r="T52" s="199">
        <f>S52/1000</f>
        <v/>
      </c>
    </row>
    <row r="53" ht="18.5" customHeight="1" s="165">
      <c r="A53" s="152" t="inlineStr">
        <is>
          <t>Žilina</t>
        </is>
      </c>
      <c r="B53" s="56" t="inlineStr">
        <is>
          <t>Transport Mode</t>
        </is>
      </c>
      <c r="C53" s="213" t="inlineStr">
        <is>
          <t>Rail</t>
        </is>
      </c>
      <c r="D53" s="213" t="inlineStr">
        <is>
          <t>Truck</t>
        </is>
      </c>
      <c r="E53" s="213" t="inlineStr">
        <is>
          <t>Truck</t>
        </is>
      </c>
      <c r="F53" s="213" t="inlineStr">
        <is>
          <t>Air</t>
        </is>
      </c>
      <c r="G53" s="213" t="inlineStr">
        <is>
          <t>Truck</t>
        </is>
      </c>
      <c r="H53" s="213" t="inlineStr">
        <is>
          <t>Truck</t>
        </is>
      </c>
      <c r="I53" s="213" t="inlineStr">
        <is>
          <t>Truck</t>
        </is>
      </c>
      <c r="J53" s="213" t="inlineStr">
        <is>
          <t>Truck</t>
        </is>
      </c>
      <c r="K53" s="213" t="inlineStr">
        <is>
          <t>Truck</t>
        </is>
      </c>
      <c r="L53" s="213" t="inlineStr">
        <is>
          <t>Ocean Vessel</t>
        </is>
      </c>
      <c r="M53" s="213" t="inlineStr">
        <is>
          <t>Truck</t>
        </is>
      </c>
      <c r="N53" s="213" t="inlineStr">
        <is>
          <t>Truck</t>
        </is>
      </c>
      <c r="O53" s="213" t="inlineStr">
        <is>
          <t>Truck</t>
        </is>
      </c>
      <c r="P53" s="213" t="inlineStr">
        <is>
          <t>Truck</t>
        </is>
      </c>
      <c r="Q53" s="213" t="inlineStr">
        <is>
          <t>Truck</t>
        </is>
      </c>
      <c r="R53" s="214" t="inlineStr">
        <is>
          <t>Truck</t>
        </is>
      </c>
      <c r="S53" s="215" t="n"/>
      <c r="T53" s="199" t="n"/>
    </row>
    <row r="54" ht="17" customHeight="1" s="165">
      <c r="A54" s="210" t="n"/>
      <c r="B54" s="152" t="inlineStr">
        <is>
          <t>Emission Factor (Auto)</t>
        </is>
      </c>
      <c r="C54" s="216">
        <f>VLOOKUP(C53,$O$3:$P$6,2,0)</f>
        <v/>
      </c>
      <c r="D54" s="216">
        <f>VLOOKUP(D53,$O$3:$P$6,2,0)</f>
        <v/>
      </c>
      <c r="E54" s="216">
        <f>VLOOKUP(E53,$O$3:$P$6,2,0)</f>
        <v/>
      </c>
      <c r="F54" s="216">
        <f>VLOOKUP(F53,$O$3:$P$6,2,0)</f>
        <v/>
      </c>
      <c r="G54" s="216">
        <f>VLOOKUP(G53,$O$3:$P$6,2,0)</f>
        <v/>
      </c>
      <c r="H54" s="216">
        <f>VLOOKUP(H53,$O$3:$P$6,2,0)</f>
        <v/>
      </c>
      <c r="I54" s="216">
        <f>VLOOKUP(I53,$O$3:$P$6,2,0)</f>
        <v/>
      </c>
      <c r="J54" s="216">
        <f>VLOOKUP(J53,$O$3:$P$6,2,0)</f>
        <v/>
      </c>
      <c r="K54" s="216">
        <f>VLOOKUP(K53,$O$3:$P$6,2,0)</f>
        <v/>
      </c>
      <c r="L54" s="216">
        <f>VLOOKUP(L53,$O$3:$P$6,2,0)</f>
        <v/>
      </c>
      <c r="M54" s="216">
        <f>VLOOKUP(M53,$O$3:$P$6,2,0)</f>
        <v/>
      </c>
      <c r="N54" s="216">
        <f>VLOOKUP(N53,$O$3:$P$6,2,0)</f>
        <v/>
      </c>
      <c r="O54" s="216">
        <f>VLOOKUP(O53,$O$3:$P$6,2,0)</f>
        <v/>
      </c>
      <c r="P54" s="216">
        <f>VLOOKUP(P53,$O$3:$P$6,2,0)</f>
        <v/>
      </c>
      <c r="Q54" s="216">
        <f>VLOOKUP(Q53,$O$3:$P$6,2,0)</f>
        <v/>
      </c>
      <c r="R54" s="217">
        <f>VLOOKUP(R53,$O$3:$P$6,2,0)</f>
        <v/>
      </c>
      <c r="S54" s="218" t="n"/>
      <c r="T54" s="199" t="n"/>
    </row>
    <row r="55" ht="18.5" customHeight="1" s="165">
      <c r="A55" s="192" t="n"/>
      <c r="B55" s="57" t="inlineStr">
        <is>
          <t>Annual Travel Distance (km)</t>
        </is>
      </c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  <c r="R55" s="26" t="n"/>
      <c r="S55" s="215">
        <f t="array" ref="S55">SUMPRODUCT(C54:R54,C55:R55,'Cat 1'!C41:R41/1000)</f>
        <v/>
      </c>
      <c r="T55" s="199">
        <f>S55/1000</f>
        <v/>
      </c>
    </row>
    <row r="56" ht="18.5" customHeight="1" s="165">
      <c r="A56" s="152" t="inlineStr">
        <is>
          <t>Bystřice</t>
        </is>
      </c>
      <c r="B56" s="56" t="inlineStr">
        <is>
          <t>Transport Mode</t>
        </is>
      </c>
      <c r="C56" s="213" t="inlineStr">
        <is>
          <t>Truck</t>
        </is>
      </c>
      <c r="D56" s="213" t="inlineStr">
        <is>
          <t>Truck</t>
        </is>
      </c>
      <c r="E56" s="213" t="inlineStr">
        <is>
          <t>Truck</t>
        </is>
      </c>
      <c r="F56" s="213" t="inlineStr">
        <is>
          <t>Air</t>
        </is>
      </c>
      <c r="G56" s="213" t="inlineStr">
        <is>
          <t>Truck</t>
        </is>
      </c>
      <c r="H56" s="213" t="inlineStr">
        <is>
          <t>Truck</t>
        </is>
      </c>
      <c r="I56" s="213" t="inlineStr">
        <is>
          <t>Truck</t>
        </is>
      </c>
      <c r="J56" s="213" t="inlineStr">
        <is>
          <t>Truck</t>
        </is>
      </c>
      <c r="K56" s="213" t="inlineStr">
        <is>
          <t>Truck</t>
        </is>
      </c>
      <c r="L56" s="213" t="inlineStr">
        <is>
          <t>Ocean Vessel</t>
        </is>
      </c>
      <c r="M56" s="213" t="inlineStr">
        <is>
          <t>Truck</t>
        </is>
      </c>
      <c r="N56" s="213" t="inlineStr">
        <is>
          <t>Truck</t>
        </is>
      </c>
      <c r="O56" s="213" t="inlineStr">
        <is>
          <t>Truck</t>
        </is>
      </c>
      <c r="P56" s="213" t="inlineStr">
        <is>
          <t>Truck</t>
        </is>
      </c>
      <c r="Q56" s="213" t="inlineStr">
        <is>
          <t>Truck</t>
        </is>
      </c>
      <c r="R56" s="214" t="inlineStr">
        <is>
          <t>Truck</t>
        </is>
      </c>
      <c r="S56" s="215" t="n"/>
      <c r="T56" s="199" t="n"/>
    </row>
    <row r="57" ht="17" customHeight="1" s="165">
      <c r="A57" s="210" t="n"/>
      <c r="B57" s="152" t="inlineStr">
        <is>
          <t>Emission Factor (Auto)</t>
        </is>
      </c>
      <c r="C57" s="216">
        <f>VLOOKUP(C56,$O$3:$P$6,2,0)</f>
        <v/>
      </c>
      <c r="D57" s="216">
        <f>VLOOKUP(D56,$O$3:$P$6,2,0)</f>
        <v/>
      </c>
      <c r="E57" s="216">
        <f>VLOOKUP(E56,$O$3:$P$6,2,0)</f>
        <v/>
      </c>
      <c r="F57" s="216">
        <f>VLOOKUP(F56,$O$3:$P$6,2,0)</f>
        <v/>
      </c>
      <c r="G57" s="216">
        <f>VLOOKUP(G56,$O$3:$P$6,2,0)</f>
        <v/>
      </c>
      <c r="H57" s="216">
        <f>VLOOKUP(H56,$O$3:$P$6,2,0)</f>
        <v/>
      </c>
      <c r="I57" s="216">
        <f>VLOOKUP(I56,$O$3:$P$6,2,0)</f>
        <v/>
      </c>
      <c r="J57" s="216">
        <f>VLOOKUP(J56,$O$3:$P$6,2,0)</f>
        <v/>
      </c>
      <c r="K57" s="216">
        <f>VLOOKUP(K56,$O$3:$P$6,2,0)</f>
        <v/>
      </c>
      <c r="L57" s="216">
        <f>VLOOKUP(L56,$O$3:$P$6,2,0)</f>
        <v/>
      </c>
      <c r="M57" s="216">
        <f>VLOOKUP(M56,$O$3:$P$6,2,0)</f>
        <v/>
      </c>
      <c r="N57" s="216">
        <f>VLOOKUP(N56,$O$3:$P$6,2,0)</f>
        <v/>
      </c>
      <c r="O57" s="216">
        <f>VLOOKUP(O56,$O$3:$P$6,2,0)</f>
        <v/>
      </c>
      <c r="P57" s="216">
        <f>VLOOKUP(P56,$O$3:$P$6,2,0)</f>
        <v/>
      </c>
      <c r="Q57" s="216">
        <f>VLOOKUP(Q56,$O$3:$P$6,2,0)</f>
        <v/>
      </c>
      <c r="R57" s="217">
        <f>VLOOKUP(R56,$O$3:$P$6,2,0)</f>
        <v/>
      </c>
      <c r="S57" s="218" t="n"/>
      <c r="T57" s="199" t="n"/>
    </row>
    <row r="58" ht="18.5" customHeight="1" s="165">
      <c r="A58" s="192" t="n"/>
      <c r="B58" s="57" t="inlineStr">
        <is>
          <t>Annual Travel Distance (km)</t>
        </is>
      </c>
      <c r="C58" s="25" t="n">
        <v>373870</v>
      </c>
      <c r="D58" s="25" t="n"/>
      <c r="E58" s="25" t="n"/>
      <c r="F58" s="25" t="n"/>
      <c r="G58" s="25" t="n"/>
      <c r="H58" s="25" t="n"/>
      <c r="I58" s="25" t="n">
        <v>10240</v>
      </c>
      <c r="J58" s="25" t="n">
        <v>100750</v>
      </c>
      <c r="K58" s="25" t="n"/>
      <c r="L58" s="25" t="n"/>
      <c r="M58" s="25" t="n"/>
      <c r="N58" s="25" t="n"/>
      <c r="O58" s="25" t="n"/>
      <c r="P58" s="25" t="n"/>
      <c r="Q58" s="25" t="n"/>
      <c r="R58" s="26" t="n"/>
      <c r="S58" s="215">
        <f t="array" ref="S58">SUMPRODUCT(C57:R57,C58:R58,'Cat 1'!C43:R43/1000)</f>
        <v/>
      </c>
      <c r="T58" s="199">
        <f>S58/1000</f>
        <v/>
      </c>
    </row>
    <row r="59" ht="18.5" customHeight="1" s="165">
      <c r="A59" s="152" t="inlineStr">
        <is>
          <t>Lipovice</t>
        </is>
      </c>
      <c r="B59" s="56" t="inlineStr">
        <is>
          <t>Transport Mode</t>
        </is>
      </c>
      <c r="C59" s="213" t="inlineStr">
        <is>
          <t>Truck</t>
        </is>
      </c>
      <c r="D59" s="213" t="inlineStr">
        <is>
          <t>Truck</t>
        </is>
      </c>
      <c r="E59" s="213" t="inlineStr">
        <is>
          <t>Truck</t>
        </is>
      </c>
      <c r="F59" s="213" t="inlineStr">
        <is>
          <t>Air</t>
        </is>
      </c>
      <c r="G59" s="213" t="inlineStr">
        <is>
          <t>Truck</t>
        </is>
      </c>
      <c r="H59" s="213" t="inlineStr">
        <is>
          <t>Truck</t>
        </is>
      </c>
      <c r="I59" s="213" t="inlineStr">
        <is>
          <t>Truck</t>
        </is>
      </c>
      <c r="J59" s="213" t="inlineStr">
        <is>
          <t>Truck</t>
        </is>
      </c>
      <c r="K59" s="213" t="inlineStr">
        <is>
          <t>Truck</t>
        </is>
      </c>
      <c r="L59" s="213" t="inlineStr">
        <is>
          <t>Ocean Vessel</t>
        </is>
      </c>
      <c r="M59" s="213" t="inlineStr">
        <is>
          <t>Truck</t>
        </is>
      </c>
      <c r="N59" s="213" t="inlineStr">
        <is>
          <t>Truck</t>
        </is>
      </c>
      <c r="O59" s="213" t="inlineStr">
        <is>
          <t>Truck</t>
        </is>
      </c>
      <c r="P59" s="213" t="inlineStr">
        <is>
          <t>Truck</t>
        </is>
      </c>
      <c r="Q59" s="213" t="inlineStr">
        <is>
          <t>Truck</t>
        </is>
      </c>
      <c r="R59" s="214" t="inlineStr">
        <is>
          <t>Truck</t>
        </is>
      </c>
      <c r="S59" s="215" t="n"/>
      <c r="T59" s="199" t="n"/>
    </row>
    <row r="60" ht="17" customHeight="1" s="165">
      <c r="A60" s="210" t="n"/>
      <c r="B60" s="152" t="inlineStr">
        <is>
          <t>Emission Factor (Auto)</t>
        </is>
      </c>
      <c r="C60" s="216">
        <f>VLOOKUP(C59,$O$3:$P$6,2,0)</f>
        <v/>
      </c>
      <c r="D60" s="216">
        <f>VLOOKUP(D59,$O$3:$P$6,2,0)</f>
        <v/>
      </c>
      <c r="E60" s="216">
        <f>VLOOKUP(E59,$O$3:$P$6,2,0)</f>
        <v/>
      </c>
      <c r="F60" s="216">
        <f>VLOOKUP(F59,$O$3:$P$6,2,0)</f>
        <v/>
      </c>
      <c r="G60" s="216">
        <f>VLOOKUP(G59,$O$3:$P$6,2,0)</f>
        <v/>
      </c>
      <c r="H60" s="216">
        <f>VLOOKUP(H59,$O$3:$P$6,2,0)</f>
        <v/>
      </c>
      <c r="I60" s="216">
        <f>VLOOKUP(I59,$O$3:$P$6,2,0)</f>
        <v/>
      </c>
      <c r="J60" s="216">
        <f>VLOOKUP(J59,$O$3:$P$6,2,0)</f>
        <v/>
      </c>
      <c r="K60" s="216">
        <f>VLOOKUP(K59,$O$3:$P$6,2,0)</f>
        <v/>
      </c>
      <c r="L60" s="216">
        <f>VLOOKUP(L59,$O$3:$P$6,2,0)</f>
        <v/>
      </c>
      <c r="M60" s="216">
        <f>VLOOKUP(M59,$O$3:$P$6,2,0)</f>
        <v/>
      </c>
      <c r="N60" s="216">
        <f>VLOOKUP(N59,$O$3:$P$6,2,0)</f>
        <v/>
      </c>
      <c r="O60" s="216">
        <f>VLOOKUP(O59,$O$3:$P$6,2,0)</f>
        <v/>
      </c>
      <c r="P60" s="216">
        <f>VLOOKUP(P59,$O$3:$P$6,2,0)</f>
        <v/>
      </c>
      <c r="Q60" s="216">
        <f>VLOOKUP(Q59,$O$3:$P$6,2,0)</f>
        <v/>
      </c>
      <c r="R60" s="217">
        <f>VLOOKUP(R59,$O$3:$P$6,2,0)</f>
        <v/>
      </c>
      <c r="S60" s="218" t="n"/>
      <c r="T60" s="199" t="n"/>
    </row>
    <row r="61" ht="18.5" customHeight="1" s="165">
      <c r="A61" s="192" t="n"/>
      <c r="B61" s="57" t="inlineStr">
        <is>
          <t>Annual Travel Distance (km)</t>
        </is>
      </c>
      <c r="C61" s="25" t="n">
        <v>20280</v>
      </c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6" t="n"/>
      <c r="S61" s="215">
        <f t="array" ref="S61">SUMPRODUCT(C60:R60,C61:R61,'Cat 1'!C45:R45/1000)</f>
        <v/>
      </c>
      <c r="T61" s="199">
        <f>S61/1000</f>
        <v/>
      </c>
    </row>
    <row r="62" ht="18.5" customHeight="1" s="165">
      <c r="A62" s="152" t="inlineStr">
        <is>
          <t>Mikulov</t>
        </is>
      </c>
      <c r="B62" s="56" t="inlineStr">
        <is>
          <t>Transport Mode</t>
        </is>
      </c>
      <c r="C62" s="213" t="inlineStr">
        <is>
          <t>Rail</t>
        </is>
      </c>
      <c r="D62" s="213" t="inlineStr">
        <is>
          <t>Truck</t>
        </is>
      </c>
      <c r="E62" s="213" t="inlineStr">
        <is>
          <t>Truck</t>
        </is>
      </c>
      <c r="F62" s="213" t="inlineStr">
        <is>
          <t>Air</t>
        </is>
      </c>
      <c r="G62" s="213" t="inlineStr">
        <is>
          <t>Truck</t>
        </is>
      </c>
      <c r="H62" s="213" t="inlineStr">
        <is>
          <t>Truck</t>
        </is>
      </c>
      <c r="I62" s="213" t="inlineStr">
        <is>
          <t>Truck</t>
        </is>
      </c>
      <c r="J62" s="213" t="inlineStr">
        <is>
          <t>Truck</t>
        </is>
      </c>
      <c r="K62" s="213" t="inlineStr">
        <is>
          <t>Truck</t>
        </is>
      </c>
      <c r="L62" s="213" t="inlineStr">
        <is>
          <t>Ocean Vessel</t>
        </is>
      </c>
      <c r="M62" s="213" t="inlineStr">
        <is>
          <t>Truck</t>
        </is>
      </c>
      <c r="N62" s="213" t="inlineStr">
        <is>
          <t>Truck</t>
        </is>
      </c>
      <c r="O62" s="213" t="inlineStr">
        <is>
          <t>Truck</t>
        </is>
      </c>
      <c r="P62" s="213" t="inlineStr">
        <is>
          <t>Truck</t>
        </is>
      </c>
      <c r="Q62" s="213" t="inlineStr">
        <is>
          <t>Truck</t>
        </is>
      </c>
      <c r="R62" s="214" t="inlineStr">
        <is>
          <t>Truck</t>
        </is>
      </c>
      <c r="S62" s="215" t="n"/>
      <c r="T62" s="199" t="n"/>
    </row>
    <row r="63" ht="17" customHeight="1" s="165">
      <c r="A63" s="210" t="n"/>
      <c r="B63" s="152" t="inlineStr">
        <is>
          <t>Emission Factor (Auto)</t>
        </is>
      </c>
      <c r="C63" s="216">
        <f>VLOOKUP(C62,$O$3:$P$6,2,0)</f>
        <v/>
      </c>
      <c r="D63" s="216">
        <f>VLOOKUP(D62,$O$3:$P$6,2,0)</f>
        <v/>
      </c>
      <c r="E63" s="216">
        <f>VLOOKUP(E62,$O$3:$P$6,2,0)</f>
        <v/>
      </c>
      <c r="F63" s="216">
        <f>VLOOKUP(F62,$O$3:$P$6,2,0)</f>
        <v/>
      </c>
      <c r="G63" s="216">
        <f>VLOOKUP(G62,$O$3:$P$6,2,0)</f>
        <v/>
      </c>
      <c r="H63" s="216">
        <f>VLOOKUP(H62,$O$3:$P$6,2,0)</f>
        <v/>
      </c>
      <c r="I63" s="216">
        <f>VLOOKUP(I62,$O$3:$P$6,2,0)</f>
        <v/>
      </c>
      <c r="J63" s="216">
        <f>VLOOKUP(J62,$O$3:$P$6,2,0)</f>
        <v/>
      </c>
      <c r="K63" s="216">
        <f>VLOOKUP(K62,$O$3:$P$6,2,0)</f>
        <v/>
      </c>
      <c r="L63" s="216">
        <f>VLOOKUP(L62,$O$3:$P$6,2,0)</f>
        <v/>
      </c>
      <c r="M63" s="216">
        <f>VLOOKUP(M62,$O$3:$P$6,2,0)</f>
        <v/>
      </c>
      <c r="N63" s="216">
        <f>VLOOKUP(N62,$O$3:$P$6,2,0)</f>
        <v/>
      </c>
      <c r="O63" s="216">
        <f>VLOOKUP(O62,$O$3:$P$6,2,0)</f>
        <v/>
      </c>
      <c r="P63" s="216">
        <f>VLOOKUP(P62,$O$3:$P$6,2,0)</f>
        <v/>
      </c>
      <c r="Q63" s="216">
        <f>VLOOKUP(Q62,$O$3:$P$6,2,0)</f>
        <v/>
      </c>
      <c r="R63" s="217">
        <f>VLOOKUP(R62,$O$3:$P$6,2,0)</f>
        <v/>
      </c>
      <c r="S63" s="218" t="n"/>
      <c r="T63" s="199" t="n"/>
    </row>
    <row r="64" ht="18.5" customHeight="1" s="165">
      <c r="A64" s="192" t="n"/>
      <c r="B64" s="57" t="inlineStr">
        <is>
          <t>Annual Travel Distance (km)</t>
        </is>
      </c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6" t="n"/>
      <c r="S64" s="215">
        <f t="array" ref="S64">SUMPRODUCT(C63:R63,C64:R64,'Cat 1'!C47:R47/1000)</f>
        <v/>
      </c>
      <c r="T64" s="199">
        <f>S64/1000</f>
        <v/>
      </c>
    </row>
    <row r="65" ht="18.5" customHeight="1" s="165">
      <c r="A65" s="152" t="inlineStr">
        <is>
          <t>İzmit</t>
        </is>
      </c>
      <c r="B65" s="56" t="inlineStr">
        <is>
          <t>Transport Mode</t>
        </is>
      </c>
      <c r="C65" s="213" t="inlineStr">
        <is>
          <t>Rail</t>
        </is>
      </c>
      <c r="D65" s="213" t="inlineStr">
        <is>
          <t>Truck</t>
        </is>
      </c>
      <c r="E65" s="213" t="inlineStr">
        <is>
          <t>Truck</t>
        </is>
      </c>
      <c r="F65" s="213" t="inlineStr">
        <is>
          <t>Air</t>
        </is>
      </c>
      <c r="G65" s="213" t="inlineStr">
        <is>
          <t>Truck</t>
        </is>
      </c>
      <c r="H65" s="213" t="inlineStr">
        <is>
          <t>Truck</t>
        </is>
      </c>
      <c r="I65" s="213" t="inlineStr">
        <is>
          <t>Truck</t>
        </is>
      </c>
      <c r="J65" s="213" t="inlineStr">
        <is>
          <t>Truck</t>
        </is>
      </c>
      <c r="K65" s="213" t="inlineStr">
        <is>
          <t>Truck</t>
        </is>
      </c>
      <c r="L65" s="213" t="inlineStr">
        <is>
          <t>Ocean Vessel</t>
        </is>
      </c>
      <c r="M65" s="213" t="inlineStr">
        <is>
          <t>Truck</t>
        </is>
      </c>
      <c r="N65" s="213" t="inlineStr">
        <is>
          <t>Truck</t>
        </is>
      </c>
      <c r="O65" s="213" t="inlineStr">
        <is>
          <t>Truck</t>
        </is>
      </c>
      <c r="P65" s="213" t="inlineStr">
        <is>
          <t>Truck</t>
        </is>
      </c>
      <c r="Q65" s="213" t="inlineStr">
        <is>
          <t>Truck</t>
        </is>
      </c>
      <c r="R65" s="214" t="inlineStr">
        <is>
          <t>Truck</t>
        </is>
      </c>
      <c r="S65" s="215" t="n"/>
      <c r="T65" s="199" t="n"/>
    </row>
    <row r="66" ht="17" customHeight="1" s="165">
      <c r="A66" s="210" t="n"/>
      <c r="B66" s="152" t="inlineStr">
        <is>
          <t>Emission Factor (Auto)</t>
        </is>
      </c>
      <c r="C66" s="216">
        <f>VLOOKUP(C65,$O$3:$P$6,2,0)</f>
        <v/>
      </c>
      <c r="D66" s="216">
        <f>VLOOKUP(D65,$O$3:$P$6,2,0)</f>
        <v/>
      </c>
      <c r="E66" s="216">
        <f>VLOOKUP(E65,$O$3:$P$6,2,0)</f>
        <v/>
      </c>
      <c r="F66" s="216">
        <f>VLOOKUP(F65,$O$3:$P$6,2,0)</f>
        <v/>
      </c>
      <c r="G66" s="216">
        <f>VLOOKUP(G65,$O$3:$P$6,2,0)</f>
        <v/>
      </c>
      <c r="H66" s="216">
        <f>VLOOKUP(H65,$O$3:$P$6,2,0)</f>
        <v/>
      </c>
      <c r="I66" s="216">
        <f>VLOOKUP(I65,$O$3:$P$6,2,0)</f>
        <v/>
      </c>
      <c r="J66" s="216">
        <f>VLOOKUP(J65,$O$3:$P$6,2,0)</f>
        <v/>
      </c>
      <c r="K66" s="216">
        <f>VLOOKUP(K65,$O$3:$P$6,2,0)</f>
        <v/>
      </c>
      <c r="L66" s="216">
        <f>VLOOKUP(L65,$O$3:$P$6,2,0)</f>
        <v/>
      </c>
      <c r="M66" s="216">
        <f>VLOOKUP(M65,$O$3:$P$6,2,0)</f>
        <v/>
      </c>
      <c r="N66" s="216">
        <f>VLOOKUP(N65,$O$3:$P$6,2,0)</f>
        <v/>
      </c>
      <c r="O66" s="216">
        <f>VLOOKUP(O65,$O$3:$P$6,2,0)</f>
        <v/>
      </c>
      <c r="P66" s="216">
        <f>VLOOKUP(P65,$O$3:$P$6,2,0)</f>
        <v/>
      </c>
      <c r="Q66" s="216">
        <f>VLOOKUP(Q65,$O$3:$P$6,2,0)</f>
        <v/>
      </c>
      <c r="R66" s="217">
        <f>VLOOKUP(R65,$O$3:$P$6,2,0)</f>
        <v/>
      </c>
      <c r="S66" s="218" t="n"/>
      <c r="T66" s="199" t="n"/>
    </row>
    <row r="67" ht="18.5" customHeight="1" s="165">
      <c r="A67" s="192" t="n"/>
      <c r="B67" s="57" t="inlineStr">
        <is>
          <t>Annual Travel Distance (km)</t>
        </is>
      </c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6" t="n"/>
      <c r="S67" s="215">
        <f t="array" ref="S67">SUMPRODUCT(C66:R66,C67:R67,'Cat 1'!C49:R49/1000)</f>
        <v/>
      </c>
      <c r="T67" s="199">
        <f>S67/1000</f>
        <v/>
      </c>
    </row>
    <row r="68" ht="18.5" customHeight="1" s="165">
      <c r="A68" s="152" t="inlineStr">
        <is>
          <t>Bekasi</t>
        </is>
      </c>
      <c r="B68" s="56" t="inlineStr">
        <is>
          <t>Transport Mode</t>
        </is>
      </c>
      <c r="C68" s="213" t="inlineStr">
        <is>
          <t>Truck</t>
        </is>
      </c>
      <c r="D68" s="213" t="inlineStr">
        <is>
          <t>Truck</t>
        </is>
      </c>
      <c r="E68" s="213" t="inlineStr">
        <is>
          <t>Truck</t>
        </is>
      </c>
      <c r="F68" s="213" t="inlineStr">
        <is>
          <t>Air</t>
        </is>
      </c>
      <c r="G68" s="213" t="inlineStr">
        <is>
          <t>Truck</t>
        </is>
      </c>
      <c r="H68" s="213" t="inlineStr">
        <is>
          <t>Truck</t>
        </is>
      </c>
      <c r="I68" s="213" t="inlineStr">
        <is>
          <t>Truck</t>
        </is>
      </c>
      <c r="J68" s="213" t="inlineStr">
        <is>
          <t>Truck</t>
        </is>
      </c>
      <c r="K68" s="213" t="inlineStr">
        <is>
          <t>Truck</t>
        </is>
      </c>
      <c r="L68" s="213" t="inlineStr">
        <is>
          <t>Truck</t>
        </is>
      </c>
      <c r="M68" s="213" t="inlineStr">
        <is>
          <t>Truck</t>
        </is>
      </c>
      <c r="N68" s="213" t="inlineStr">
        <is>
          <t>Truck</t>
        </is>
      </c>
      <c r="O68" s="213" t="inlineStr">
        <is>
          <t>Truck</t>
        </is>
      </c>
      <c r="P68" s="213" t="inlineStr">
        <is>
          <t>Truck</t>
        </is>
      </c>
      <c r="Q68" s="213" t="inlineStr">
        <is>
          <t>Truck</t>
        </is>
      </c>
      <c r="R68" s="214" t="inlineStr">
        <is>
          <t>Truck</t>
        </is>
      </c>
      <c r="S68" s="215" t="n"/>
      <c r="T68" s="199" t="n"/>
    </row>
    <row r="69" ht="17" customHeight="1" s="165">
      <c r="A69" s="210" t="n"/>
      <c r="B69" s="152" t="inlineStr">
        <is>
          <t>Emission Factor (Auto)</t>
        </is>
      </c>
      <c r="C69" s="216">
        <f>VLOOKUP(C68,$O$3:$P$6,2,0)</f>
        <v/>
      </c>
      <c r="D69" s="216">
        <f>VLOOKUP(D68,$O$3:$P$6,2,0)</f>
        <v/>
      </c>
      <c r="E69" s="216">
        <f>VLOOKUP(E68,$O$3:$P$6,2,0)</f>
        <v/>
      </c>
      <c r="F69" s="216">
        <f>VLOOKUP(F68,$O$3:$P$6,2,0)</f>
        <v/>
      </c>
      <c r="G69" s="216">
        <f>VLOOKUP(G68,$O$3:$P$6,2,0)</f>
        <v/>
      </c>
      <c r="H69" s="216">
        <f>VLOOKUP(H68,$O$3:$P$6,2,0)</f>
        <v/>
      </c>
      <c r="I69" s="216">
        <f>VLOOKUP(I68,$O$3:$P$6,2,0)</f>
        <v/>
      </c>
      <c r="J69" s="216">
        <f>VLOOKUP(J68,$O$3:$P$6,2,0)</f>
        <v/>
      </c>
      <c r="K69" s="216">
        <f>VLOOKUP(K68,$O$3:$P$6,2,0)</f>
        <v/>
      </c>
      <c r="L69" s="216">
        <f>VLOOKUP(L68,$O$3:$P$6,2,0)</f>
        <v/>
      </c>
      <c r="M69" s="216">
        <f>VLOOKUP(M68,$O$3:$P$6,2,0)</f>
        <v/>
      </c>
      <c r="N69" s="216">
        <f>VLOOKUP(N68,$O$3:$P$6,2,0)</f>
        <v/>
      </c>
      <c r="O69" s="216">
        <f>VLOOKUP(O68,$O$3:$P$6,2,0)</f>
        <v/>
      </c>
      <c r="P69" s="216">
        <f>VLOOKUP(P68,$O$3:$P$6,2,0)</f>
        <v/>
      </c>
      <c r="Q69" s="216">
        <f>VLOOKUP(Q68,$O$3:$P$6,2,0)</f>
        <v/>
      </c>
      <c r="R69" s="217">
        <f>VLOOKUP(R68,$O$3:$P$6,2,0)</f>
        <v/>
      </c>
      <c r="S69" s="218" t="n"/>
      <c r="T69" s="199" t="n"/>
    </row>
    <row r="70" ht="18.5" customHeight="1" s="165">
      <c r="A70" s="192" t="n"/>
      <c r="B70" s="57" t="inlineStr">
        <is>
          <t>Annual Travel Distance (km)</t>
        </is>
      </c>
      <c r="C70" s="25" t="n">
        <v>3960</v>
      </c>
      <c r="D70" s="25" t="n">
        <v>7200</v>
      </c>
      <c r="E70" s="25" t="n">
        <v>360</v>
      </c>
      <c r="F70" s="25" t="n"/>
      <c r="G70" s="25" t="n">
        <v>416</v>
      </c>
      <c r="H70" s="25" t="n"/>
      <c r="I70" s="25" t="n">
        <v>552</v>
      </c>
      <c r="J70" s="25" t="n">
        <v>345836</v>
      </c>
      <c r="K70" s="25" t="n">
        <v>39046</v>
      </c>
      <c r="L70" s="25" t="n">
        <v>4968</v>
      </c>
      <c r="M70" s="25" t="n">
        <v>16008</v>
      </c>
      <c r="N70" s="25" t="n">
        <v>11040</v>
      </c>
      <c r="O70" s="25" t="n">
        <v>5520</v>
      </c>
      <c r="P70" s="25" t="n">
        <v>360</v>
      </c>
      <c r="Q70" s="25" t="n"/>
      <c r="R70" s="26" t="n"/>
      <c r="S70" s="215">
        <f t="array" ref="S70">SUMPRODUCT(C69:R69,C70:R70,'Cat 1'!C51:R51/1000)</f>
        <v/>
      </c>
      <c r="T70" s="199">
        <f>S70/1000</f>
        <v/>
      </c>
    </row>
    <row r="71" ht="18.5" customHeight="1" s="165">
      <c r="A71" s="152" t="inlineStr">
        <is>
          <t>Indiana</t>
        </is>
      </c>
      <c r="B71" s="56" t="inlineStr">
        <is>
          <t>Transport Mode</t>
        </is>
      </c>
      <c r="C71" s="213" t="inlineStr">
        <is>
          <t>Rail</t>
        </is>
      </c>
      <c r="D71" s="213" t="inlineStr">
        <is>
          <t>Truck</t>
        </is>
      </c>
      <c r="E71" s="213" t="inlineStr">
        <is>
          <t>Truck</t>
        </is>
      </c>
      <c r="F71" s="213" t="inlineStr">
        <is>
          <t>Air</t>
        </is>
      </c>
      <c r="G71" s="213" t="inlineStr">
        <is>
          <t>Truck</t>
        </is>
      </c>
      <c r="H71" s="213" t="inlineStr">
        <is>
          <t>Truck</t>
        </is>
      </c>
      <c r="I71" s="213" t="inlineStr">
        <is>
          <t>Truck</t>
        </is>
      </c>
      <c r="J71" s="213" t="inlineStr">
        <is>
          <t>Truck</t>
        </is>
      </c>
      <c r="K71" s="213" t="inlineStr">
        <is>
          <t>Truck</t>
        </is>
      </c>
      <c r="L71" s="213" t="inlineStr">
        <is>
          <t>Truck</t>
        </is>
      </c>
      <c r="M71" s="213" t="inlineStr">
        <is>
          <t>Truck</t>
        </is>
      </c>
      <c r="N71" s="213" t="inlineStr">
        <is>
          <t>Truck</t>
        </is>
      </c>
      <c r="O71" s="213" t="inlineStr">
        <is>
          <t>Truck</t>
        </is>
      </c>
      <c r="P71" s="213" t="inlineStr">
        <is>
          <t>Truck</t>
        </is>
      </c>
      <c r="Q71" s="213" t="inlineStr">
        <is>
          <t>Truck</t>
        </is>
      </c>
      <c r="R71" s="214" t="inlineStr">
        <is>
          <t>Truck</t>
        </is>
      </c>
      <c r="S71" s="215" t="n"/>
      <c r="T71" s="199" t="n"/>
    </row>
    <row r="72" ht="17" customHeight="1" s="165">
      <c r="A72" s="210" t="n"/>
      <c r="B72" s="152" t="inlineStr">
        <is>
          <t>Emission Factor (Auto)</t>
        </is>
      </c>
      <c r="C72" s="216">
        <f>VLOOKUP(C71,$O$3:$P$6,2,0)</f>
        <v/>
      </c>
      <c r="D72" s="216">
        <f>VLOOKUP(D71,$O$3:$P$6,2,0)</f>
        <v/>
      </c>
      <c r="E72" s="216">
        <f>VLOOKUP(E71,$O$3:$P$6,2,0)</f>
        <v/>
      </c>
      <c r="F72" s="216">
        <f>VLOOKUP(F71,$O$3:$P$6,2,0)</f>
        <v/>
      </c>
      <c r="G72" s="216">
        <f>VLOOKUP(G71,$O$3:$P$6,2,0)</f>
        <v/>
      </c>
      <c r="H72" s="216">
        <f>VLOOKUP(H71,$O$3:$P$6,2,0)</f>
        <v/>
      </c>
      <c r="I72" s="216">
        <f>VLOOKUP(I71,$O$3:$P$6,2,0)</f>
        <v/>
      </c>
      <c r="J72" s="216">
        <f>VLOOKUP(J71,$O$3:$P$6,2,0)</f>
        <v/>
      </c>
      <c r="K72" s="216">
        <f>VLOOKUP(K71,$O$3:$P$6,2,0)</f>
        <v/>
      </c>
      <c r="L72" s="216">
        <f>VLOOKUP(L71,$O$3:$P$6,2,0)</f>
        <v/>
      </c>
      <c r="M72" s="216">
        <f>VLOOKUP(M71,$O$3:$P$6,2,0)</f>
        <v/>
      </c>
      <c r="N72" s="216">
        <f>VLOOKUP(N71,$O$3:$P$6,2,0)</f>
        <v/>
      </c>
      <c r="O72" s="216">
        <f>VLOOKUP(O71,$O$3:$P$6,2,0)</f>
        <v/>
      </c>
      <c r="P72" s="216">
        <f>VLOOKUP(P71,$O$3:$P$6,2,0)</f>
        <v/>
      </c>
      <c r="Q72" s="216">
        <f>VLOOKUP(Q71,$O$3:$P$6,2,0)</f>
        <v/>
      </c>
      <c r="R72" s="217">
        <f>VLOOKUP(R71,$O$3:$P$6,2,0)</f>
        <v/>
      </c>
      <c r="S72" s="218" t="n"/>
      <c r="T72" s="199" t="n"/>
    </row>
    <row r="73" ht="18.5" customHeight="1" s="165">
      <c r="A73" s="192" t="n"/>
      <c r="B73" s="57" t="inlineStr">
        <is>
          <t>Annual Travel Distance (km)</t>
        </is>
      </c>
      <c r="C73" s="25" t="n"/>
      <c r="D73" s="25" t="n">
        <v>531</v>
      </c>
      <c r="E73" s="25" t="n">
        <v>17568</v>
      </c>
      <c r="F73" s="25" t="n">
        <v>69795</v>
      </c>
      <c r="G73" s="25" t="n"/>
      <c r="H73" s="25" t="n"/>
      <c r="I73" s="25" t="n">
        <v>2442</v>
      </c>
      <c r="J73" s="25" t="n">
        <v>2252976.84</v>
      </c>
      <c r="K73" s="25" t="n">
        <v>747328.72</v>
      </c>
      <c r="L73" s="25" t="n">
        <v>53072</v>
      </c>
      <c r="M73" s="25" t="n">
        <v>48150</v>
      </c>
      <c r="N73" s="25" t="n">
        <v>8018</v>
      </c>
      <c r="O73" s="25" t="n">
        <v>17820</v>
      </c>
      <c r="P73" s="25" t="n"/>
      <c r="Q73" s="25" t="n"/>
      <c r="R73" s="26" t="n"/>
      <c r="S73" s="215">
        <f t="array" ref="S73">SUMPRODUCT(C72:R72,C73:R73,'Cat 1'!C53:R53/1000)</f>
        <v/>
      </c>
      <c r="T73" s="199">
        <f>S73/1000</f>
        <v/>
      </c>
    </row>
    <row r="74" ht="18.5" customHeight="1" s="165">
      <c r="A74" s="152" t="inlineStr">
        <is>
          <t>Alabama</t>
        </is>
      </c>
      <c r="B74" s="56" t="inlineStr">
        <is>
          <t>Transport Mode</t>
        </is>
      </c>
      <c r="C74" s="213" t="inlineStr">
        <is>
          <t>Rail</t>
        </is>
      </c>
      <c r="D74" s="213" t="inlineStr">
        <is>
          <t>Truck</t>
        </is>
      </c>
      <c r="E74" s="213" t="inlineStr">
        <is>
          <t>Truck</t>
        </is>
      </c>
      <c r="F74" s="213" t="inlineStr">
        <is>
          <t>Air</t>
        </is>
      </c>
      <c r="G74" s="213" t="inlineStr">
        <is>
          <t>Truck</t>
        </is>
      </c>
      <c r="H74" s="213" t="inlineStr">
        <is>
          <t>Truck</t>
        </is>
      </c>
      <c r="I74" s="213" t="inlineStr">
        <is>
          <t>Truck</t>
        </is>
      </c>
      <c r="J74" s="213" t="inlineStr">
        <is>
          <t>Truck</t>
        </is>
      </c>
      <c r="K74" s="213" t="inlineStr">
        <is>
          <t>Truck</t>
        </is>
      </c>
      <c r="L74" s="213" t="inlineStr">
        <is>
          <t>Ocean Vessel</t>
        </is>
      </c>
      <c r="M74" s="213" t="inlineStr">
        <is>
          <t>Truck</t>
        </is>
      </c>
      <c r="N74" s="213" t="inlineStr">
        <is>
          <t>Truck</t>
        </is>
      </c>
      <c r="O74" s="213" t="inlineStr">
        <is>
          <t>Truck</t>
        </is>
      </c>
      <c r="P74" s="213" t="inlineStr">
        <is>
          <t>Truck</t>
        </is>
      </c>
      <c r="Q74" s="213" t="inlineStr">
        <is>
          <t>Truck</t>
        </is>
      </c>
      <c r="R74" s="214" t="inlineStr">
        <is>
          <t>Truck</t>
        </is>
      </c>
      <c r="S74" s="215" t="n"/>
      <c r="T74" s="199" t="n"/>
    </row>
    <row r="75" ht="17" customHeight="1" s="165">
      <c r="A75" s="210" t="n"/>
      <c r="B75" s="152" t="inlineStr">
        <is>
          <t>Emission Factor (Auto)</t>
        </is>
      </c>
      <c r="C75" s="216">
        <f>VLOOKUP(C74,$O$3:$P$6,2,0)</f>
        <v/>
      </c>
      <c r="D75" s="216">
        <f>VLOOKUP(D74,$O$3:$P$6,2,0)</f>
        <v/>
      </c>
      <c r="E75" s="216">
        <f>VLOOKUP(E74,$O$3:$P$6,2,0)</f>
        <v/>
      </c>
      <c r="F75" s="216">
        <f>VLOOKUP(F74,$O$3:$P$6,2,0)</f>
        <v/>
      </c>
      <c r="G75" s="216">
        <f>VLOOKUP(G74,$O$3:$P$6,2,0)</f>
        <v/>
      </c>
      <c r="H75" s="216">
        <f>VLOOKUP(H74,$O$3:$P$6,2,0)</f>
        <v/>
      </c>
      <c r="I75" s="216">
        <f>VLOOKUP(I74,$O$3:$P$6,2,0)</f>
        <v/>
      </c>
      <c r="J75" s="216">
        <f>VLOOKUP(J74,$O$3:$P$6,2,0)</f>
        <v/>
      </c>
      <c r="K75" s="216">
        <f>VLOOKUP(K74,$O$3:$P$6,2,0)</f>
        <v/>
      </c>
      <c r="L75" s="216">
        <f>VLOOKUP(L74,$O$3:$P$6,2,0)</f>
        <v/>
      </c>
      <c r="M75" s="216">
        <f>VLOOKUP(M74,$O$3:$P$6,2,0)</f>
        <v/>
      </c>
      <c r="N75" s="216">
        <f>VLOOKUP(N74,$O$3:$P$6,2,0)</f>
        <v/>
      </c>
      <c r="O75" s="216">
        <f>VLOOKUP(O74,$O$3:$P$6,2,0)</f>
        <v/>
      </c>
      <c r="P75" s="216">
        <f>VLOOKUP(P74,$O$3:$P$6,2,0)</f>
        <v/>
      </c>
      <c r="Q75" s="216">
        <f>VLOOKUP(Q74,$O$3:$P$6,2,0)</f>
        <v/>
      </c>
      <c r="R75" s="217">
        <f>VLOOKUP(R74,$O$3:$P$6,2,0)</f>
        <v/>
      </c>
      <c r="S75" s="218" t="n"/>
      <c r="T75" s="199" t="n"/>
    </row>
    <row r="76" ht="18.5" customHeight="1" s="165">
      <c r="A76" s="192" t="n"/>
      <c r="B76" s="57" t="inlineStr">
        <is>
          <t>Annual Travel Distance (km)</t>
        </is>
      </c>
      <c r="C76" s="25" t="n"/>
      <c r="D76" s="25" t="n"/>
      <c r="E76" s="25" t="n"/>
      <c r="F76" s="25" t="n"/>
      <c r="G76" s="25" t="n"/>
      <c r="H76" s="25" t="n"/>
      <c r="I76" s="25" t="n">
        <v>2610</v>
      </c>
      <c r="J76" s="25" t="n">
        <v>2267995</v>
      </c>
      <c r="K76" s="25" t="n">
        <v>6156</v>
      </c>
      <c r="L76" s="25" t="n"/>
      <c r="M76" s="25" t="n"/>
      <c r="N76" s="25" t="n"/>
      <c r="O76" s="25" t="n"/>
      <c r="P76" s="25" t="n"/>
      <c r="Q76" s="25" t="n"/>
      <c r="R76" s="26" t="n"/>
      <c r="S76" s="215">
        <f t="array" ref="S76">SUMPRODUCT(C75:R75,C76:R76,'Cat 1'!C55:R55/1000)</f>
        <v/>
      </c>
      <c r="T76" s="199">
        <f>S76/1000</f>
        <v/>
      </c>
    </row>
    <row r="77" ht="18.5" customHeight="1" s="165">
      <c r="A77" s="152" t="inlineStr">
        <is>
          <t>Savannah</t>
        </is>
      </c>
      <c r="B77" s="56" t="inlineStr">
        <is>
          <t>Transport Mode</t>
        </is>
      </c>
      <c r="C77" s="213" t="inlineStr">
        <is>
          <t>Rail</t>
        </is>
      </c>
      <c r="D77" s="213" t="inlineStr">
        <is>
          <t>Truck</t>
        </is>
      </c>
      <c r="E77" s="213" t="inlineStr">
        <is>
          <t>Truck</t>
        </is>
      </c>
      <c r="F77" s="213" t="inlineStr">
        <is>
          <t>Air</t>
        </is>
      </c>
      <c r="G77" s="213" t="inlineStr">
        <is>
          <t>Truck</t>
        </is>
      </c>
      <c r="H77" s="213" t="inlineStr">
        <is>
          <t>Truck</t>
        </is>
      </c>
      <c r="I77" s="213" t="inlineStr">
        <is>
          <t>Truck</t>
        </is>
      </c>
      <c r="J77" s="213" t="inlineStr">
        <is>
          <t>Truck</t>
        </is>
      </c>
      <c r="K77" s="213" t="inlineStr">
        <is>
          <t>Truck</t>
        </is>
      </c>
      <c r="L77" s="213" t="inlineStr">
        <is>
          <t>Ocean Vessel</t>
        </is>
      </c>
      <c r="M77" s="213" t="inlineStr">
        <is>
          <t>Truck</t>
        </is>
      </c>
      <c r="N77" s="213" t="inlineStr">
        <is>
          <t>Truck</t>
        </is>
      </c>
      <c r="O77" s="213" t="inlineStr">
        <is>
          <t>Truck</t>
        </is>
      </c>
      <c r="P77" s="213" t="inlineStr">
        <is>
          <t>Truck</t>
        </is>
      </c>
      <c r="Q77" s="213" t="inlineStr">
        <is>
          <t>Truck</t>
        </is>
      </c>
      <c r="R77" s="214" t="inlineStr">
        <is>
          <t>Truck</t>
        </is>
      </c>
      <c r="S77" s="215" t="n"/>
      <c r="T77" s="199" t="n"/>
    </row>
    <row r="78" ht="17" customHeight="1" s="165">
      <c r="A78" s="210" t="n"/>
      <c r="B78" s="152" t="inlineStr">
        <is>
          <t>Emission Factor (Auto)</t>
        </is>
      </c>
      <c r="C78" s="216">
        <f>VLOOKUP(C77,$O$3:$P$6,2,0)</f>
        <v/>
      </c>
      <c r="D78" s="216">
        <f>VLOOKUP(D77,$O$3:$P$6,2,0)</f>
        <v/>
      </c>
      <c r="E78" s="216">
        <f>VLOOKUP(E77,$O$3:$P$6,2,0)</f>
        <v/>
      </c>
      <c r="F78" s="216">
        <f>VLOOKUP(F77,$O$3:$P$6,2,0)</f>
        <v/>
      </c>
      <c r="G78" s="216">
        <f>VLOOKUP(G77,$O$3:$P$6,2,0)</f>
        <v/>
      </c>
      <c r="H78" s="216">
        <f>VLOOKUP(H77,$O$3:$P$6,2,0)</f>
        <v/>
      </c>
      <c r="I78" s="216">
        <f>VLOOKUP(I77,$O$3:$P$6,2,0)</f>
        <v/>
      </c>
      <c r="J78" s="216">
        <f>VLOOKUP(J77,$O$3:$P$6,2,0)</f>
        <v/>
      </c>
      <c r="K78" s="216">
        <f>VLOOKUP(K77,$O$3:$P$6,2,0)</f>
        <v/>
      </c>
      <c r="L78" s="216">
        <f>VLOOKUP(L77,$O$3:$P$6,2,0)</f>
        <v/>
      </c>
      <c r="M78" s="216">
        <f>VLOOKUP(M77,$O$3:$P$6,2,0)</f>
        <v/>
      </c>
      <c r="N78" s="216">
        <f>VLOOKUP(N77,$O$3:$P$6,2,0)</f>
        <v/>
      </c>
      <c r="O78" s="216">
        <f>VLOOKUP(O77,$O$3:$P$6,2,0)</f>
        <v/>
      </c>
      <c r="P78" s="216">
        <f>VLOOKUP(P77,$O$3:$P$6,2,0)</f>
        <v/>
      </c>
      <c r="Q78" s="216">
        <f>VLOOKUP(Q77,$O$3:$P$6,2,0)</f>
        <v/>
      </c>
      <c r="R78" s="217">
        <f>VLOOKUP(R77,$O$3:$P$6,2,0)</f>
        <v/>
      </c>
      <c r="S78" s="218" t="n"/>
      <c r="T78" s="199" t="n"/>
    </row>
    <row r="79" ht="18.5" customHeight="1" s="165">
      <c r="A79" s="192" t="n"/>
      <c r="B79" s="57" t="inlineStr">
        <is>
          <t>Annual Travel Distance (km)</t>
        </is>
      </c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6" t="n"/>
      <c r="S79" s="215">
        <f t="array" ref="S79">SUMPRODUCT(C78:R78,C79:R79,'Cat 1'!C57:R57/1000)</f>
        <v/>
      </c>
      <c r="T79" s="201">
        <f>S79/1000</f>
        <v/>
      </c>
    </row>
    <row r="80" ht="22" customHeight="1" s="165" thickBot="1">
      <c r="A80" s="142" t="inlineStr">
        <is>
          <t>Total</t>
        </is>
      </c>
      <c r="B80" s="187" t="n"/>
      <c r="C80" s="9">
        <f>SUM(C14:C79)</f>
        <v/>
      </c>
      <c r="D80" s="9">
        <f>SUM(D14:D79)</f>
        <v/>
      </c>
      <c r="E80" s="9">
        <f>SUM(E14:E79)</f>
        <v/>
      </c>
      <c r="F80" s="9">
        <f>SUM(F14:F79)</f>
        <v/>
      </c>
      <c r="G80" s="9">
        <f>SUM(G14:G79)</f>
        <v/>
      </c>
      <c r="H80" s="9">
        <f>SUM(H14:H79)</f>
        <v/>
      </c>
      <c r="I80" s="9">
        <f>SUM(I14:I79)</f>
        <v/>
      </c>
      <c r="J80" s="9">
        <f>SUM(J14:J79)</f>
        <v/>
      </c>
      <c r="K80" s="9">
        <f>SUM(K14:K79)</f>
        <v/>
      </c>
      <c r="L80" s="9">
        <f>SUM(L14:L79)</f>
        <v/>
      </c>
      <c r="M80" s="9">
        <f>SUM(M14:M79)</f>
        <v/>
      </c>
      <c r="N80" s="9">
        <f>SUM(N14:N79)</f>
        <v/>
      </c>
      <c r="O80" s="9">
        <f>SUM(O14:O79)</f>
        <v/>
      </c>
      <c r="P80" s="9">
        <f>SUM(P14:P79)</f>
        <v/>
      </c>
      <c r="Q80" s="9">
        <f>SUM(Q14:Q79)</f>
        <v/>
      </c>
      <c r="R80" s="9">
        <f>SUM(R14:R79)</f>
        <v/>
      </c>
      <c r="S80" s="12">
        <f>SUM(S14:S79)</f>
        <v/>
      </c>
      <c r="T80" s="15">
        <f>SUM(T14:T79)</f>
        <v/>
      </c>
    </row>
  </sheetData>
  <mergeCells count="27">
    <mergeCell ref="A26:A28"/>
    <mergeCell ref="A17:A19"/>
    <mergeCell ref="A20:A22"/>
    <mergeCell ref="A29:A31"/>
    <mergeCell ref="A47:A49"/>
    <mergeCell ref="A23:A25"/>
    <mergeCell ref="A32:A34"/>
    <mergeCell ref="A38:A40"/>
    <mergeCell ref="A14:A16"/>
    <mergeCell ref="A68:A70"/>
    <mergeCell ref="A62:A64"/>
    <mergeCell ref="A44:A46"/>
    <mergeCell ref="A53:A55"/>
    <mergeCell ref="A59:A61"/>
    <mergeCell ref="A35:A37"/>
    <mergeCell ref="A77:A79"/>
    <mergeCell ref="A80:B80"/>
    <mergeCell ref="F4:G5"/>
    <mergeCell ref="A11:A13"/>
    <mergeCell ref="A65:A67"/>
    <mergeCell ref="A41:A43"/>
    <mergeCell ref="A50:A52"/>
    <mergeCell ref="C9:I9"/>
    <mergeCell ref="A74:A76"/>
    <mergeCell ref="A71:A73"/>
    <mergeCell ref="J9:R9"/>
    <mergeCell ref="A56:A58"/>
  </mergeCells>
  <dataValidations count="1">
    <dataValidation sqref="C11:S12 C14:R14 C17:R17 C20:R20 C23:R23 C26:R26 C29:R29 C32:R32 C35:R35 C38:R38 C41:R41 C44:R44 C47:R47 C50:R50 C53:R53 C56:R56 C59:R59 C62:R62 C65:R65 C68:R68 C71:R71 C74:R74 C77:R77" showDropDown="0" showInputMessage="1" showErrorMessage="1" allowBlank="1" type="list">
      <formula1>$O$3:$O$6</formula1>
    </dataValidation>
  </dataValidations>
  <pageMargins left="0.2362204724409449" right="0.2362204724409449" top="0.7480314960629921" bottom="0.3543307086614174" header="0.3149606299212598" footer="0.3149606299212598"/>
  <pageSetup orientation="landscape" paperSize="9" scale="41" fitToHeight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showGridLines="0" zoomScaleNormal="100" zoomScaleSheetLayoutView="85" workbookViewId="0">
      <selection activeCell="A3" sqref="A3"/>
    </sheetView>
  </sheetViews>
  <sheetFormatPr baseColWidth="8" defaultRowHeight="13"/>
  <cols>
    <col width="11.9140625" customWidth="1" style="2" min="1" max="1"/>
    <col width="15.83203125" customWidth="1" style="2" min="2" max="2"/>
    <col width="11" bestFit="1" customWidth="1" style="2" min="3" max="3"/>
    <col width="16" customWidth="1" style="2" min="4" max="9"/>
    <col width="15.58203125" bestFit="1" customWidth="1" style="2" min="10" max="10"/>
    <col width="11.25" bestFit="1" customWidth="1" style="2" min="11" max="11"/>
    <col width="15.58203125" bestFit="1" customWidth="1" style="2" min="12" max="13"/>
    <col width="8.6640625" customWidth="1" style="2" min="14" max="16384"/>
  </cols>
  <sheetData>
    <row r="1" ht="23.5" customHeight="1" s="165">
      <c r="A1" s="32" t="inlineStr">
        <is>
          <t>◆ SCOPE 3 Carbon Emissions – Cat 5. Waste Generated in Operations</t>
        </is>
      </c>
      <c r="B1" s="32" t="n"/>
    </row>
    <row r="3" ht="26.5" customHeight="1" s="165" thickBot="1">
      <c r="A3" s="163" t="inlineStr">
        <is>
          <t>※ Collection period: 2025 Jan 1 – Dec 31</t>
        </is>
      </c>
      <c r="B3" s="33" t="n"/>
      <c r="C3" s="34" t="n"/>
      <c r="D3" s="34" t="n"/>
      <c r="F3" s="35" t="inlineStr">
        <is>
          <t>※ Scope 3 Cat 5 Total Emissions</t>
        </is>
      </c>
      <c r="G3" s="31" t="n"/>
      <c r="K3" s="45" t="inlineStr">
        <is>
          <t>Classification</t>
        </is>
      </c>
      <c r="L3" s="45" t="inlineStr">
        <is>
          <t>Emission Factor</t>
        </is>
      </c>
    </row>
    <row r="4" ht="26.5" customHeight="1" s="165">
      <c r="A4" s="33" t="inlineStr">
        <is>
          <t>※ Note: Enter annual total waste tonnage in column B → Light green cells</t>
        </is>
      </c>
      <c r="B4" s="33" t="n"/>
      <c r="C4" s="34" t="n"/>
      <c r="D4" s="34" t="n"/>
      <c r="F4" s="182">
        <f>I34</f>
        <v/>
      </c>
      <c r="G4" s="183" t="n"/>
      <c r="K4" s="45" t="inlineStr">
        <is>
          <t>Landfill</t>
        </is>
      </c>
      <c r="L4" s="220" t="n">
        <v>455.1</v>
      </c>
    </row>
    <row r="5" ht="26.5" customHeight="1" s="165" thickBot="1">
      <c r="A5" s="33" t="inlineStr">
        <is>
          <t>Enter ratios separately for landfill ~ wastewater treatment → Blue cells</t>
        </is>
      </c>
      <c r="B5" s="33" t="n"/>
      <c r="C5" s="48" t="n"/>
      <c r="D5" s="34" t="n"/>
      <c r="F5" s="184" t="n"/>
      <c r="G5" s="185" t="n"/>
      <c r="K5" s="45" t="inlineStr">
        <is>
          <t>Incineration</t>
        </is>
      </c>
      <c r="L5" s="220" t="n">
        <v>1182</v>
      </c>
    </row>
    <row r="6" ht="26.5" customHeight="1" s="165">
      <c r="A6" s="33" t="inlineStr">
        <is>
          <t>Total ratio must be confirmed at 100%</t>
        </is>
      </c>
      <c r="B6" s="33" t="n"/>
      <c r="K6" s="45" t="inlineStr">
        <is>
          <t>Recycling</t>
        </is>
      </c>
      <c r="L6" s="220" t="n">
        <v>0</v>
      </c>
    </row>
    <row r="7">
      <c r="K7" s="45" t="inlineStr">
        <is>
          <t>Wastewater Treatment</t>
        </is>
      </c>
      <c r="L7" s="220" t="n">
        <v>30</v>
      </c>
    </row>
    <row r="8" ht="23.5" customHeight="1" s="165" thickBot="1"/>
    <row r="9" ht="36.5" customHeight="1" s="165">
      <c r="A9" s="29" t="inlineStr">
        <is>
          <t>By subsidiary</t>
        </is>
      </c>
      <c r="B9" s="30" t="inlineStr">
        <is>
          <t>Annual Total Waste
(tonnes)</t>
        </is>
      </c>
      <c r="C9" s="29" t="inlineStr">
        <is>
          <t>By subsidiary</t>
        </is>
      </c>
      <c r="D9" s="30" t="inlineStr">
        <is>
          <t>Landfill</t>
        </is>
      </c>
      <c r="E9" s="29" t="inlineStr">
        <is>
          <t>Incineration</t>
        </is>
      </c>
      <c r="F9" s="29" t="inlineStr">
        <is>
          <t>Recycling</t>
        </is>
      </c>
      <c r="G9" s="29" t="inlineStr">
        <is>
          <t>Wastewater Treatment</t>
        </is>
      </c>
      <c r="H9" s="59" t="inlineStr">
        <is>
          <t>Emissions
(kgCO2eq)</t>
        </is>
      </c>
      <c r="I9" s="58" t="inlineStr">
        <is>
          <t>Emissions
(tCO2eq)</t>
        </is>
      </c>
      <c r="K9" s="45" t="inlineStr">
        <is>
          <t>Total Ratio Sum</t>
        </is>
      </c>
    </row>
    <row r="10" ht="17" customHeight="1" s="165">
      <c r="A10" s="143" t="inlineStr">
        <is>
          <t>ex)</t>
        </is>
      </c>
      <c r="B10" s="143" t="n">
        <v>40</v>
      </c>
      <c r="C10" s="16" t="inlineStr">
        <is>
          <t>Ratio</t>
        </is>
      </c>
      <c r="D10" s="62" t="n">
        <v>0.25</v>
      </c>
      <c r="E10" s="62" t="n">
        <v>0.05</v>
      </c>
      <c r="F10" s="62" t="n">
        <v>0.6</v>
      </c>
      <c r="G10" s="62" t="n">
        <v>0.1</v>
      </c>
      <c r="H10" s="64" t="n"/>
      <c r="I10" s="195" t="n"/>
    </row>
    <row r="11" ht="17" customHeight="1" s="165">
      <c r="A11" s="210" t="n"/>
      <c r="B11" s="210" t="n"/>
      <c r="C11" s="16" t="inlineStr">
        <is>
          <t>Emission Factor (Auto)</t>
        </is>
      </c>
      <c r="D11" s="17">
        <f>VLOOKUP(D9,$K$4:$L$7,2,0)</f>
        <v/>
      </c>
      <c r="E11" s="17">
        <f>VLOOKUP(E9,$K$4:$L$7,2,0)</f>
        <v/>
      </c>
      <c r="F11" s="17">
        <f>VLOOKUP(F9,$K$4:$L$7,2,0)</f>
        <v/>
      </c>
      <c r="G11" s="17">
        <f>VLOOKUP(G9,$K$4:$L$7,2,0)</f>
        <v/>
      </c>
      <c r="H11" s="221">
        <f>SUMPRODUCT(D10:F10,D11:F11)*B10</f>
        <v/>
      </c>
      <c r="I11" s="195">
        <f>H11/1000</f>
        <v/>
      </c>
    </row>
    <row r="12" ht="18.5" customHeight="1" s="165">
      <c r="A12" s="145" t="inlineStr">
        <is>
          <t>Dongtan</t>
        </is>
      </c>
      <c r="B12" s="222" t="n">
        <v>13.5</v>
      </c>
      <c r="C12" s="57" t="inlineStr">
        <is>
          <t>Ratio</t>
        </is>
      </c>
      <c r="D12" s="60" t="n">
        <v>0</v>
      </c>
      <c r="E12" s="60" t="n">
        <v>0.2</v>
      </c>
      <c r="F12" s="60" t="n">
        <v>0.8</v>
      </c>
      <c r="G12" s="60" t="n">
        <v>0</v>
      </c>
      <c r="H12" s="215">
        <f>SUMPRODUCT($D$11:$G$11,D12:G12)*B12</f>
        <v/>
      </c>
      <c r="I12" s="199">
        <f>H12/1000</f>
        <v/>
      </c>
      <c r="K12" s="65">
        <f>SUM(D12:G12)</f>
        <v/>
      </c>
    </row>
    <row r="13" ht="18.5" customHeight="1" s="165">
      <c r="A13" s="145" t="inlineStr">
        <is>
          <t>Logistics Center</t>
        </is>
      </c>
      <c r="B13" s="223" t="n">
        <v>16.2</v>
      </c>
      <c r="C13" s="57" t="inlineStr">
        <is>
          <t>Ratio</t>
        </is>
      </c>
      <c r="D13" s="60" t="n">
        <v>0</v>
      </c>
      <c r="E13" s="60" t="n">
        <v>0.1</v>
      </c>
      <c r="F13" s="60" t="n">
        <v>0.9</v>
      </c>
      <c r="G13" s="60" t="n">
        <v>0</v>
      </c>
      <c r="H13" s="215">
        <f>SUMPRODUCT($D$11:$G$11,D13:G13)*B13</f>
        <v/>
      </c>
      <c r="I13" s="199">
        <f>H13/1000</f>
        <v/>
      </c>
      <c r="K13" s="65">
        <f>SUM(D13:G13)</f>
        <v/>
      </c>
    </row>
    <row r="14" ht="18.5" customHeight="1" s="165">
      <c r="A14" s="145" t="inlineStr">
        <is>
          <t>Gyeongju</t>
        </is>
      </c>
      <c r="B14" s="223" t="n">
        <v>69.551</v>
      </c>
      <c r="C14" s="57" t="inlineStr">
        <is>
          <t>Ratio</t>
        </is>
      </c>
      <c r="D14" s="60" t="n">
        <v>0</v>
      </c>
      <c r="E14" s="60" t="n">
        <v>1</v>
      </c>
      <c r="F14" s="60" t="n">
        <v>0</v>
      </c>
      <c r="G14" s="60" t="n">
        <v>0</v>
      </c>
      <c r="H14" s="215">
        <f>SUMPRODUCT($D$11:$G$11,D14:G14)*B14</f>
        <v/>
      </c>
      <c r="I14" s="199">
        <f>H14/1000</f>
        <v/>
      </c>
      <c r="K14" s="65">
        <f>SUM(D14:G14)</f>
        <v/>
      </c>
    </row>
    <row r="15" ht="18.5" customHeight="1" s="165">
      <c r="A15" s="145" t="inlineStr">
        <is>
          <t>Asan</t>
        </is>
      </c>
      <c r="B15" s="223" t="n">
        <v>57.91</v>
      </c>
      <c r="C15" s="57" t="inlineStr">
        <is>
          <t>Ratio</t>
        </is>
      </c>
      <c r="D15" s="60" t="n">
        <v>0</v>
      </c>
      <c r="E15" s="60" t="n">
        <v>1</v>
      </c>
      <c r="F15" s="60" t="n">
        <v>0</v>
      </c>
      <c r="G15" s="60" t="n">
        <v>0</v>
      </c>
      <c r="H15" s="215">
        <f>SUMPRODUCT($D$11:$G$11,D15:G15)*B15</f>
        <v/>
      </c>
      <c r="I15" s="199">
        <f>H15/1000</f>
        <v/>
      </c>
      <c r="K15" s="65">
        <f>SUM(D15:G15)</f>
        <v/>
      </c>
    </row>
    <row r="16" ht="18.5" customHeight="1" s="165">
      <c r="A16" s="145" t="inlineStr">
        <is>
          <t>Gwangju</t>
        </is>
      </c>
      <c r="B16" s="223" t="n">
        <v>26.73</v>
      </c>
      <c r="C16" s="57" t="inlineStr">
        <is>
          <t>Ratio</t>
        </is>
      </c>
      <c r="D16" s="60" t="n">
        <v>0.6</v>
      </c>
      <c r="E16" s="60" t="n">
        <v>0</v>
      </c>
      <c r="F16" s="60" t="n">
        <v>0.4</v>
      </c>
      <c r="G16" s="60" t="n">
        <v>0</v>
      </c>
      <c r="H16" s="215">
        <f>SUMPRODUCT($D$11:$G$11,D16:G16)*B16</f>
        <v/>
      </c>
      <c r="I16" s="199">
        <f>H16/1000</f>
        <v/>
      </c>
      <c r="K16" s="65">
        <f>SUM(D16:G16)</f>
        <v/>
      </c>
    </row>
    <row r="17" ht="18.5" customHeight="1" s="165">
      <c r="A17" s="145" t="inlineStr">
        <is>
          <t>Youngin</t>
        </is>
      </c>
      <c r="B17" s="223" t="n">
        <v>29.47</v>
      </c>
      <c r="C17" s="57" t="inlineStr">
        <is>
          <t>Ratio</t>
        </is>
      </c>
      <c r="D17" s="60" t="n">
        <v>0</v>
      </c>
      <c r="E17" s="60" t="n">
        <v>1</v>
      </c>
      <c r="F17" s="60" t="n">
        <v>0</v>
      </c>
      <c r="G17" s="60" t="n">
        <v>0</v>
      </c>
      <c r="H17" s="215">
        <f>SUMPRODUCT($D$11:$G$11,D17:G17)*B17</f>
        <v/>
      </c>
      <c r="I17" s="199">
        <f>H17/1000</f>
        <v/>
      </c>
      <c r="K17" s="65">
        <f>SUM(D17:G17)</f>
        <v/>
      </c>
    </row>
    <row r="18" ht="18.5" customHeight="1" s="165">
      <c r="A18" s="145" t="inlineStr">
        <is>
          <t>Beijing</t>
        </is>
      </c>
      <c r="B18" s="223" t="n"/>
      <c r="C18" s="57" t="inlineStr">
        <is>
          <t>Ratio</t>
        </is>
      </c>
      <c r="D18" s="60" t="n">
        <v>0</v>
      </c>
      <c r="E18" s="60" t="n">
        <v>0</v>
      </c>
      <c r="F18" s="60" t="n">
        <v>0</v>
      </c>
      <c r="G18" s="60" t="n">
        <v>0</v>
      </c>
      <c r="H18" s="215">
        <f>SUMPRODUCT($D$11:$G$11,D18:G18)*B18</f>
        <v/>
      </c>
      <c r="I18" s="199">
        <f>H18/1000</f>
        <v/>
      </c>
      <c r="K18" s="65">
        <f>SUM(D18:G18)</f>
        <v/>
      </c>
    </row>
    <row r="19" ht="18.5" customHeight="1" s="165">
      <c r="A19" s="145" t="inlineStr">
        <is>
          <t>Yancheng</t>
        </is>
      </c>
      <c r="B19" s="223" t="n">
        <v>13.9</v>
      </c>
      <c r="C19" s="57" t="inlineStr">
        <is>
          <t>Ratio</t>
        </is>
      </c>
      <c r="D19" s="60" t="n">
        <v>0</v>
      </c>
      <c r="E19" s="60" t="n">
        <v>0.49</v>
      </c>
      <c r="F19" s="60" t="n">
        <v>0.51</v>
      </c>
      <c r="G19" s="60" t="n">
        <v>0</v>
      </c>
      <c r="H19" s="215">
        <f>SUMPRODUCT($D$11:$G$11,D19:G19)*B19</f>
        <v/>
      </c>
      <c r="I19" s="199">
        <f>H19/1000</f>
        <v/>
      </c>
      <c r="K19" s="65">
        <f>SUM(D19:G19)</f>
        <v/>
      </c>
    </row>
    <row r="20" ht="18.5" customHeight="1" s="165">
      <c r="A20" s="145" t="inlineStr">
        <is>
          <t>Mannur</t>
        </is>
      </c>
      <c r="B20" s="223">
        <f>14464*49%</f>
        <v/>
      </c>
      <c r="C20" s="57" t="inlineStr">
        <is>
          <t>Ratio</t>
        </is>
      </c>
      <c r="D20" s="60" t="n">
        <v>0.49</v>
      </c>
      <c r="E20" s="60" t="n">
        <v>0</v>
      </c>
      <c r="F20" s="60" t="n">
        <v>0</v>
      </c>
      <c r="G20" s="60" t="n">
        <v>0</v>
      </c>
      <c r="H20" s="215">
        <f>SUMPRODUCT($D$11:$G$11,D20:G20)*B20</f>
        <v/>
      </c>
      <c r="I20" s="199">
        <f>H20/1000</f>
        <v/>
      </c>
      <c r="K20" s="65">
        <f>SUM(D20:G20)</f>
        <v/>
      </c>
    </row>
    <row r="21" ht="18.5" customHeight="1" s="165">
      <c r="A21" s="145" t="inlineStr">
        <is>
          <t>Orgadam</t>
        </is>
      </c>
      <c r="B21" s="223">
        <f>7996*25%</f>
        <v/>
      </c>
      <c r="C21" s="57" t="inlineStr">
        <is>
          <t>Ratio</t>
        </is>
      </c>
      <c r="D21" s="60" t="n">
        <v>0.25</v>
      </c>
      <c r="E21" s="60" t="n">
        <v>0</v>
      </c>
      <c r="F21" s="60" t="n">
        <v>0</v>
      </c>
      <c r="G21" s="60" t="n">
        <v>0</v>
      </c>
      <c r="H21" s="215">
        <f>SUMPRODUCT($D$11:$G$11,D21:G21)*B21</f>
        <v/>
      </c>
      <c r="I21" s="199">
        <f>H21/1000</f>
        <v/>
      </c>
      <c r="K21" s="65">
        <f>SUM(D21:G21)</f>
        <v/>
      </c>
    </row>
    <row r="22" ht="18.5" customHeight="1" s="165">
      <c r="A22" s="145" t="inlineStr">
        <is>
          <t>Bangalore</t>
        </is>
      </c>
      <c r="B22" s="223" t="n"/>
      <c r="C22" s="57" t="inlineStr">
        <is>
          <t>Ratio</t>
        </is>
      </c>
      <c r="D22" s="60" t="n">
        <v>0</v>
      </c>
      <c r="E22" s="60" t="n">
        <v>0</v>
      </c>
      <c r="F22" s="60" t="n">
        <v>0</v>
      </c>
      <c r="G22" s="60" t="n">
        <v>0</v>
      </c>
      <c r="H22" s="215">
        <f>SUMPRODUCT($D$11:$G$11,D22:G22)*B22</f>
        <v/>
      </c>
      <c r="I22" s="199">
        <f>H22/1000</f>
        <v/>
      </c>
      <c r="K22" s="65">
        <f>SUM(D22:G22)</f>
        <v/>
      </c>
    </row>
    <row r="23" ht="18.5" customHeight="1" s="165">
      <c r="A23" s="145" t="inlineStr">
        <is>
          <t>Pune</t>
        </is>
      </c>
      <c r="B23" s="223">
        <f>5280*35%</f>
        <v/>
      </c>
      <c r="C23" s="57" t="inlineStr">
        <is>
          <t>Ratio</t>
        </is>
      </c>
      <c r="D23" s="60" t="n">
        <v>0.35</v>
      </c>
      <c r="E23" s="60" t="n">
        <v>0</v>
      </c>
      <c r="F23" s="60" t="n">
        <v>0</v>
      </c>
      <c r="G23" s="60" t="n">
        <v>0</v>
      </c>
      <c r="H23" s="215">
        <f>SUMPRODUCT($D$11:$G$11,D23:G23)*B23</f>
        <v/>
      </c>
      <c r="I23" s="199">
        <f>H23/1000</f>
        <v/>
      </c>
      <c r="K23" s="65">
        <f>SUM(D23:G23)</f>
        <v/>
      </c>
    </row>
    <row r="24" ht="18.5" customHeight="1" s="165">
      <c r="A24" s="145" t="inlineStr">
        <is>
          <t>Trzyniec</t>
        </is>
      </c>
      <c r="B24" s="223" t="n"/>
      <c r="C24" s="57" t="inlineStr">
        <is>
          <t>Ratio</t>
        </is>
      </c>
      <c r="D24" s="60" t="n">
        <v>0</v>
      </c>
      <c r="E24" s="60" t="n">
        <v>0</v>
      </c>
      <c r="F24" s="60" t="n">
        <v>0</v>
      </c>
      <c r="G24" s="60" t="n">
        <v>0</v>
      </c>
      <c r="H24" s="215">
        <f>SUMPRODUCT($D$11:$G$11,D24:G24)*B24</f>
        <v/>
      </c>
      <c r="I24" s="199">
        <f>H24/1000</f>
        <v/>
      </c>
      <c r="K24" s="65">
        <f>SUM(D24:G24)</f>
        <v/>
      </c>
    </row>
    <row r="25" ht="18.5" customHeight="1" s="165">
      <c r="A25" s="145" t="inlineStr">
        <is>
          <t>Žilina</t>
        </is>
      </c>
      <c r="B25" s="223" t="n"/>
      <c r="C25" s="57" t="inlineStr">
        <is>
          <t>Ratio</t>
        </is>
      </c>
      <c r="D25" s="60" t="n">
        <v>0</v>
      </c>
      <c r="E25" s="60" t="n">
        <v>0</v>
      </c>
      <c r="F25" s="60" t="n">
        <v>0</v>
      </c>
      <c r="G25" s="60" t="n">
        <v>0</v>
      </c>
      <c r="H25" s="215">
        <f>SUMPRODUCT($D$11:$G$11,D25:G25)*B25</f>
        <v/>
      </c>
      <c r="I25" s="199">
        <f>H25/1000</f>
        <v/>
      </c>
      <c r="K25" s="65">
        <f>SUM(D25:G25)</f>
        <v/>
      </c>
    </row>
    <row r="26" ht="18.5" customHeight="1" s="165">
      <c r="A26" s="145" t="inlineStr">
        <is>
          <t>Bystřice</t>
        </is>
      </c>
      <c r="B26" s="223" t="n">
        <v>82.322</v>
      </c>
      <c r="C26" s="57" t="inlineStr">
        <is>
          <t>Ratio</t>
        </is>
      </c>
      <c r="D26" s="60" t="n">
        <v>0.45</v>
      </c>
      <c r="E26" s="60" t="n">
        <v>0</v>
      </c>
      <c r="F26" s="60" t="n">
        <v>0.55</v>
      </c>
      <c r="G26" s="60" t="n">
        <v>0</v>
      </c>
      <c r="H26" s="215">
        <f>SUMPRODUCT($D$11:$G$11,D26:G26)*B26</f>
        <v/>
      </c>
      <c r="I26" s="199">
        <f>H26/1000</f>
        <v/>
      </c>
      <c r="K26" s="65">
        <f>SUM(D26:G26)</f>
        <v/>
      </c>
    </row>
    <row r="27" ht="18.5" customHeight="1" s="165">
      <c r="A27" s="145" t="inlineStr">
        <is>
          <t>Lipovice</t>
        </is>
      </c>
      <c r="B27" s="223" t="n"/>
      <c r="C27" s="57" t="inlineStr">
        <is>
          <t>Ratio</t>
        </is>
      </c>
      <c r="D27" s="60" t="n">
        <v>0</v>
      </c>
      <c r="E27" s="60" t="n">
        <v>0</v>
      </c>
      <c r="F27" s="60" t="n">
        <v>0</v>
      </c>
      <c r="G27" s="60" t="n">
        <v>0</v>
      </c>
      <c r="H27" s="215">
        <f>SUMPRODUCT($D$11:$G$11,D27:G27)*B27</f>
        <v/>
      </c>
      <c r="I27" s="199">
        <f>H27/1000</f>
        <v/>
      </c>
      <c r="K27" s="65">
        <f>SUM(D27:G27)</f>
        <v/>
      </c>
    </row>
    <row r="28" ht="18.5" customHeight="1" s="165">
      <c r="A28" s="145" t="inlineStr">
        <is>
          <t>Mikulov</t>
        </is>
      </c>
      <c r="B28" s="223">
        <f>233.56*92%</f>
        <v/>
      </c>
      <c r="C28" s="57" t="inlineStr">
        <is>
          <t>Ratio</t>
        </is>
      </c>
      <c r="D28" s="60" t="n">
        <v>0.92</v>
      </c>
      <c r="E28" s="60" t="n">
        <v>0</v>
      </c>
      <c r="F28" s="60" t="n">
        <v>0</v>
      </c>
      <c r="G28" s="60" t="n">
        <v>0</v>
      </c>
      <c r="H28" s="215">
        <f>SUMPRODUCT($D$11:$G$11,D28:G28)*B28</f>
        <v/>
      </c>
      <c r="I28" s="199">
        <f>H28/1000</f>
        <v/>
      </c>
      <c r="K28" s="65">
        <f>SUM(D28:G28)</f>
        <v/>
      </c>
    </row>
    <row r="29" ht="18.5" customHeight="1" s="165">
      <c r="A29" s="145" t="inlineStr">
        <is>
          <t>İzmit</t>
        </is>
      </c>
      <c r="B29" s="223" t="n"/>
      <c r="C29" s="57" t="inlineStr">
        <is>
          <t>Ratio</t>
        </is>
      </c>
      <c r="D29" s="60" t="n">
        <v>0</v>
      </c>
      <c r="E29" s="60" t="n">
        <v>0</v>
      </c>
      <c r="F29" s="60" t="n">
        <v>0</v>
      </c>
      <c r="G29" s="60" t="n">
        <v>0</v>
      </c>
      <c r="H29" s="215">
        <f>SUMPRODUCT($D$11:$G$11,D29:G29)*B29</f>
        <v/>
      </c>
      <c r="I29" s="199">
        <f>H29/1000</f>
        <v/>
      </c>
      <c r="K29" s="65">
        <f>SUM(D29:G29)</f>
        <v/>
      </c>
    </row>
    <row r="30" ht="18.5" customHeight="1" s="165">
      <c r="A30" s="145" t="inlineStr">
        <is>
          <t>Bekasi</t>
        </is>
      </c>
      <c r="B30" s="223" t="n">
        <v>173</v>
      </c>
      <c r="C30" s="57" t="inlineStr">
        <is>
          <t>Ratio</t>
        </is>
      </c>
      <c r="D30" s="60" t="n">
        <v>0.31</v>
      </c>
      <c r="E30" s="60" t="n">
        <v>0.31</v>
      </c>
      <c r="F30" s="60" t="n">
        <v>0.38</v>
      </c>
      <c r="G30" s="60" t="n">
        <v>0</v>
      </c>
      <c r="H30" s="215">
        <f>SUMPRODUCT($D$11:$G$11,D30:G30)*B30</f>
        <v/>
      </c>
      <c r="I30" s="199">
        <f>H30/1000</f>
        <v/>
      </c>
      <c r="K30" s="65">
        <f>SUM(D30:G30)</f>
        <v/>
      </c>
    </row>
    <row r="31" ht="18.5" customHeight="1" s="165">
      <c r="A31" s="145" t="inlineStr">
        <is>
          <t>Indiana</t>
        </is>
      </c>
      <c r="B31" s="223" t="n">
        <v>710.1599999999999</v>
      </c>
      <c r="C31" s="57" t="inlineStr">
        <is>
          <t>Ratio</t>
        </is>
      </c>
      <c r="D31" s="60" t="n">
        <v>0.5753</v>
      </c>
      <c r="E31" s="60" t="n">
        <v>0</v>
      </c>
      <c r="F31" s="60" t="n">
        <v>0.4247</v>
      </c>
      <c r="G31" s="60" t="n">
        <v>0</v>
      </c>
      <c r="H31" s="215">
        <f>SUMPRODUCT($D$11:$G$11,D31:G31)*B31</f>
        <v/>
      </c>
      <c r="I31" s="199">
        <f>H31/1000</f>
        <v/>
      </c>
      <c r="K31" s="65">
        <f>SUM(D31:G31)</f>
        <v/>
      </c>
    </row>
    <row r="32" ht="18.5" customHeight="1" s="165">
      <c r="A32" s="145" t="inlineStr">
        <is>
          <t>Alabama</t>
        </is>
      </c>
      <c r="B32" s="224" t="n">
        <v>1561.94</v>
      </c>
      <c r="C32" s="57" t="inlineStr">
        <is>
          <t>Ratio</t>
        </is>
      </c>
      <c r="D32" s="60" t="n">
        <v>0.1920048145255259</v>
      </c>
      <c r="E32" s="60" t="n">
        <v>0</v>
      </c>
      <c r="F32" s="60" t="n">
        <v>0.807995185474474</v>
      </c>
      <c r="G32" s="60" t="n">
        <v>0</v>
      </c>
      <c r="H32" s="215">
        <f>SUMPRODUCT($D$11:$G$11,D32:G32)*B32</f>
        <v/>
      </c>
      <c r="I32" s="199">
        <f>H32/1000</f>
        <v/>
      </c>
      <c r="K32" s="65">
        <f>SUM(D32:G32)</f>
        <v/>
      </c>
    </row>
    <row r="33" ht="18.5" customHeight="1" s="165">
      <c r="A33" s="145" t="inlineStr">
        <is>
          <t>Savannah</t>
        </is>
      </c>
      <c r="B33" s="223" t="n">
        <v>150</v>
      </c>
      <c r="C33" s="57" t="inlineStr">
        <is>
          <t>Ratio</t>
        </is>
      </c>
      <c r="D33" s="60" t="n">
        <v>1</v>
      </c>
      <c r="E33" s="60" t="n">
        <v>0</v>
      </c>
      <c r="F33" s="60" t="n">
        <v>0</v>
      </c>
      <c r="G33" s="60" t="n">
        <v>0</v>
      </c>
      <c r="H33" s="215">
        <f>SUMPRODUCT($D$11:$G$11,D33:G33)*B33</f>
        <v/>
      </c>
      <c r="I33" s="199">
        <f>H33/1000</f>
        <v/>
      </c>
      <c r="K33" s="65">
        <f>SUM(D33:G33)</f>
        <v/>
      </c>
    </row>
    <row r="34" ht="22" customHeight="1" s="165" thickBot="1">
      <c r="A34" s="142" t="inlineStr">
        <is>
          <t>Total</t>
        </is>
      </c>
      <c r="B34" s="225" t="n"/>
      <c r="C34" s="187" t="n"/>
      <c r="D34" s="9">
        <f>SUM(D12:D33)</f>
        <v/>
      </c>
      <c r="E34" s="9">
        <f>SUM(E12:E33)</f>
        <v/>
      </c>
      <c r="F34" s="9">
        <f>SUM(F12:F33)</f>
        <v/>
      </c>
      <c r="G34" s="9">
        <f>SUM(G12:G33)</f>
        <v/>
      </c>
      <c r="H34" s="12">
        <f>SUM(H12:H33)</f>
        <v/>
      </c>
      <c r="I34" s="15">
        <f>SUM(I12:I33)</f>
        <v/>
      </c>
    </row>
  </sheetData>
  <mergeCells count="4">
    <mergeCell ref="B10:B11"/>
    <mergeCell ref="F4:G5"/>
    <mergeCell ref="A34:C34"/>
    <mergeCell ref="A10:A11"/>
  </mergeCells>
  <pageMargins left="0.2362204724409449" right="0.2362204724409449" top="0.7480314960629921" bottom="0.3543307086614174" header="0.3149606299212598" footer="0.3149606299212598"/>
  <pageSetup orientation="landscape" paperSize="9" scale="97" fitToHeight="0" verticalDpi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35"/>
  <sheetViews>
    <sheetView showGridLines="0" zoomScale="70" zoomScaleNormal="70" zoomScaleSheetLayoutView="85" workbookViewId="0">
      <selection activeCell="A3" sqref="A3"/>
    </sheetView>
  </sheetViews>
  <sheetFormatPr baseColWidth="8" defaultRowHeight="13"/>
  <cols>
    <col width="11.9140625" customWidth="1" style="2" min="1" max="1"/>
    <col width="11" bestFit="1" customWidth="1" style="53" min="2" max="2"/>
    <col width="16" customWidth="1" style="2" min="3" max="18"/>
    <col width="8.6640625" customWidth="1" style="2" min="19" max="16384"/>
  </cols>
  <sheetData>
    <row r="1" ht="23.5" customHeight="1" s="165">
      <c r="A1" s="32" t="inlineStr">
        <is>
          <t>◆ SCOPE 3 Carbon Emissions – Cat 6. Business Travel &amp; Cat 7. Employee Commuting</t>
        </is>
      </c>
    </row>
    <row r="3" ht="26.5" customHeight="1" s="165" thickBot="1">
      <c r="A3" s="163" t="inlineStr">
        <is>
          <t>※ Collection period: 2025 Jan 1 – Dec 31</t>
        </is>
      </c>
      <c r="B3" s="54" t="n"/>
      <c r="C3" s="34" t="n"/>
      <c r="F3" s="35" t="inlineStr">
        <is>
          <t>※ Scope 3 Cat 6 Total Emissions</t>
        </is>
      </c>
      <c r="G3" s="31" t="n"/>
      <c r="H3" s="35" t="inlineStr">
        <is>
          <t>※ Scope 3 Cat 7 Total Emissions</t>
        </is>
      </c>
      <c r="I3" s="31" t="n"/>
    </row>
    <row r="4" ht="26.5" customHeight="1" s="165">
      <c r="A4" s="33" t="inlineStr">
        <is>
          <t>※ Note: Enter annual total distance in km only → Blue cells</t>
        </is>
      </c>
      <c r="B4" s="54" t="n"/>
      <c r="C4" s="34" t="n"/>
      <c r="F4" s="182">
        <f>J35</f>
        <v/>
      </c>
      <c r="G4" s="183" t="n"/>
      <c r="H4" s="182">
        <f>R35</f>
        <v/>
      </c>
      <c r="I4" s="183" t="n"/>
    </row>
    <row r="5" ht="26.5" customHeight="1" s="165" thickBot="1">
      <c r="A5" s="33" t="inlineStr">
        <is>
          <t>Travel distance based on round trip</t>
        </is>
      </c>
      <c r="B5" s="54" t="n"/>
      <c r="C5" s="34" t="n"/>
      <c r="F5" s="184" t="n"/>
      <c r="G5" s="185" t="n"/>
      <c r="H5" s="184" t="n"/>
      <c r="I5" s="185" t="n"/>
    </row>
    <row r="6" ht="26.5" customHeight="1" s="165"/>
    <row r="8" ht="23.5" customHeight="1" s="165">
      <c r="C8" s="2" t="inlineStr">
        <is>
          <t>▼ Internal System</t>
        </is>
      </c>
      <c r="D8" s="2" t="inlineStr">
        <is>
          <t>▼ Internal System</t>
        </is>
      </c>
      <c r="E8" s="2" t="inlineStr">
        <is>
          <t>▼ Internal System</t>
        </is>
      </c>
      <c r="F8" s="2" t="inlineStr">
        <is>
          <t>▼ Internal System</t>
        </is>
      </c>
      <c r="G8" s="2" t="inlineStr">
        <is>
          <t>▼ Internal System</t>
        </is>
      </c>
      <c r="H8" s="2" t="inlineStr">
        <is>
          <t>▼ Travel Agency</t>
        </is>
      </c>
      <c r="K8" s="2" t="inlineStr">
        <is>
          <t>▼ Survey</t>
        </is>
      </c>
      <c r="L8" s="2" t="inlineStr">
        <is>
          <t>▼ Survey</t>
        </is>
      </c>
      <c r="M8" s="2" t="inlineStr">
        <is>
          <t>▼ Survey</t>
        </is>
      </c>
      <c r="N8" s="2" t="inlineStr">
        <is>
          <t>▼ Survey</t>
        </is>
      </c>
      <c r="O8" s="2" t="inlineStr">
        <is>
          <t>▼ Survey</t>
        </is>
      </c>
      <c r="P8" s="2" t="inlineStr">
        <is>
          <t>▼ Subsidiary Management Team</t>
        </is>
      </c>
    </row>
    <row r="9" ht="20.5" customHeight="1" s="165" thickBot="1">
      <c r="C9" s="151" t="inlineStr">
        <is>
          <t>Business Travel</t>
        </is>
      </c>
      <c r="K9" s="156" t="inlineStr">
        <is>
          <t>Employee Commuting</t>
        </is>
      </c>
    </row>
    <row r="10" ht="36.5" customHeight="1" s="165">
      <c r="A10" s="29" t="inlineStr">
        <is>
          <t>By subsidiary</t>
        </is>
      </c>
      <c r="B10" s="29" t="inlineStr">
        <is>
          <t>Classification</t>
        </is>
      </c>
      <c r="C10" s="29" t="inlineStr">
        <is>
          <t>Private Vehicle</t>
        </is>
      </c>
      <c r="D10" s="29" t="inlineStr">
        <is>
          <t>KTX/SRT</t>
        </is>
      </c>
      <c r="E10" s="29" t="inlineStr">
        <is>
          <t>Regular Train</t>
        </is>
      </c>
      <c r="F10" s="29" t="inlineStr">
        <is>
          <t>Bus</t>
        </is>
      </c>
      <c r="G10" s="29" t="inlineStr">
        <is>
          <t>Subway / Metro</t>
        </is>
      </c>
      <c r="H10" s="30" t="inlineStr">
        <is>
          <t>Air</t>
        </is>
      </c>
      <c r="I10" s="59" t="inlineStr">
        <is>
          <t>Emissions
(kgCO2eq)</t>
        </is>
      </c>
      <c r="J10" s="58" t="inlineStr">
        <is>
          <t>Emissions
(tCO2eq)</t>
        </is>
      </c>
      <c r="K10" s="99" t="inlineStr">
        <is>
          <t>Private Vehicle</t>
        </is>
      </c>
      <c r="L10" s="29" t="inlineStr">
        <is>
          <t>KTX/SRT</t>
        </is>
      </c>
      <c r="M10" s="29" t="inlineStr">
        <is>
          <t>Regular Train</t>
        </is>
      </c>
      <c r="N10" s="29" t="inlineStr">
        <is>
          <t>Bus</t>
        </is>
      </c>
      <c r="O10" s="29" t="inlineStr">
        <is>
          <t>Subway / Metro</t>
        </is>
      </c>
      <c r="P10" s="29" t="inlineStr">
        <is>
          <t>Commuter Bus</t>
        </is>
      </c>
      <c r="Q10" s="59" t="inlineStr">
        <is>
          <t>Emissions
(kgCO2eq)</t>
        </is>
      </c>
      <c r="R10" s="58" t="inlineStr">
        <is>
          <t>Emissions
(tCO2eq)</t>
        </is>
      </c>
    </row>
    <row r="11" ht="17" customHeight="1" s="165">
      <c r="A11" s="152" t="inlineStr">
        <is>
          <t>Emission Factor (Do Not Modify)</t>
        </is>
      </c>
      <c r="B11" s="187" t="n"/>
      <c r="C11" s="226" t="n">
        <v>0.21</v>
      </c>
      <c r="D11" s="226" t="n">
        <v>0.03</v>
      </c>
      <c r="E11" s="226" t="n">
        <v>0.02</v>
      </c>
      <c r="F11" s="226" t="n">
        <v>0.0277</v>
      </c>
      <c r="G11" s="226" t="n">
        <v>0.00153</v>
      </c>
      <c r="H11" s="226" t="n">
        <v>0.15</v>
      </c>
      <c r="I11" s="227" t="n"/>
      <c r="J11" s="228" t="n"/>
      <c r="K11" s="229" t="n">
        <v>0.21</v>
      </c>
      <c r="L11" s="226" t="n">
        <v>0.03</v>
      </c>
      <c r="M11" s="226" t="n">
        <v>0.02</v>
      </c>
      <c r="N11" s="226" t="n">
        <v>0.0277</v>
      </c>
      <c r="O11" s="226" t="n">
        <v>0.00153</v>
      </c>
      <c r="P11" s="226" t="n">
        <v>0.0277</v>
      </c>
      <c r="Q11" s="10" t="n"/>
      <c r="R11" s="13" t="n"/>
    </row>
    <row r="12" ht="17" customHeight="1" s="165">
      <c r="A12" s="143" t="inlineStr">
        <is>
          <t>ex)</t>
        </is>
      </c>
      <c r="B12" s="16" t="inlineStr">
        <is>
          <t>Travel Distance (Round Trip)</t>
        </is>
      </c>
      <c r="C12" s="193" t="n">
        <v>2000</v>
      </c>
      <c r="D12" s="193" t="n">
        <v>5000</v>
      </c>
      <c r="E12" s="193" t="n">
        <v>0</v>
      </c>
      <c r="F12" s="193" t="n">
        <v>0</v>
      </c>
      <c r="G12" s="193" t="n">
        <v>0</v>
      </c>
      <c r="H12" s="193" t="n">
        <v>60000</v>
      </c>
      <c r="I12" s="194">
        <f>SUMPRODUCT($C$11:$H$11,C12:H12)</f>
        <v/>
      </c>
      <c r="J12" s="195">
        <f>I12/1000</f>
        <v/>
      </c>
      <c r="K12" s="230" t="n">
        <v>20000</v>
      </c>
      <c r="L12" s="193" t="n">
        <v>500</v>
      </c>
      <c r="M12" s="193" t="n">
        <v>0</v>
      </c>
      <c r="N12" s="193" t="n">
        <v>250</v>
      </c>
      <c r="O12" s="193" t="n">
        <v>350</v>
      </c>
      <c r="P12" s="193" t="n">
        <v>2500</v>
      </c>
      <c r="Q12" s="194">
        <f>SUMPRODUCT($K$11:$P$11,K12:P12)</f>
        <v/>
      </c>
      <c r="R12" s="195">
        <f>Q12/1000</f>
        <v/>
      </c>
    </row>
    <row r="13" ht="18.5" customHeight="1" s="165">
      <c r="A13" s="145" t="inlineStr">
        <is>
          <t>Dongtan</t>
        </is>
      </c>
      <c r="B13" s="152" t="inlineStr">
        <is>
          <t>Travel Distance (Round Trip)</t>
        </is>
      </c>
      <c r="C13" s="231" t="n">
        <v>165827.1</v>
      </c>
      <c r="D13" s="231" t="n">
        <v>65783.60000000001</v>
      </c>
      <c r="E13" s="231" t="n">
        <v>542</v>
      </c>
      <c r="F13" s="231" t="n">
        <v>5067.6</v>
      </c>
      <c r="G13" s="231" t="n">
        <v>162.6</v>
      </c>
      <c r="H13" s="231" t="n">
        <v>3577812</v>
      </c>
      <c r="I13" s="69">
        <f>SUMPRODUCT($C$11:$H$11,C13:H13)</f>
        <v/>
      </c>
      <c r="J13" s="67">
        <f>I13/1000</f>
        <v/>
      </c>
      <c r="K13" s="232" t="n">
        <v>647849.9000000001</v>
      </c>
      <c r="L13" s="231" t="n">
        <v>55084</v>
      </c>
      <c r="M13" s="231" t="n">
        <v>0</v>
      </c>
      <c r="N13" s="231" t="n">
        <v>10422.8</v>
      </c>
      <c r="O13" s="231" t="n">
        <v>54</v>
      </c>
      <c r="P13" s="231" t="n">
        <v>0</v>
      </c>
      <c r="Q13" s="69">
        <f>SUMPRODUCT($K$11:$P$11,K13:P13)</f>
        <v/>
      </c>
      <c r="R13" s="67">
        <f>Q13/1000</f>
        <v/>
      </c>
    </row>
    <row r="14" ht="18.5" customHeight="1" s="165">
      <c r="A14" s="145" t="inlineStr">
        <is>
          <t>Logistics Center</t>
        </is>
      </c>
      <c r="B14" s="152" t="inlineStr">
        <is>
          <t>Travel Distance (Round Trip)</t>
        </is>
      </c>
      <c r="C14" s="231" t="n">
        <v>1413</v>
      </c>
      <c r="D14" s="231" t="n"/>
      <c r="E14" s="231" t="n"/>
      <c r="F14" s="231" t="n"/>
      <c r="G14" s="231" t="n"/>
      <c r="H14" s="231" t="n"/>
      <c r="I14" s="69">
        <f>SUMPRODUCT($C$11:$H$11,C14:H14)</f>
        <v/>
      </c>
      <c r="J14" s="67">
        <f>I14/1000</f>
        <v/>
      </c>
      <c r="K14" s="232" t="n">
        <v>39330</v>
      </c>
      <c r="L14" s="231" t="n">
        <v>0</v>
      </c>
      <c r="M14" s="231" t="n">
        <v>0</v>
      </c>
      <c r="N14" s="231" t="n">
        <v>0</v>
      </c>
      <c r="O14" s="231" t="n">
        <v>0</v>
      </c>
      <c r="P14" s="231" t="n">
        <v>34500</v>
      </c>
      <c r="Q14" s="69">
        <f>SUMPRODUCT($K$11:$P$11,K14:P14)</f>
        <v/>
      </c>
      <c r="R14" s="67">
        <f>Q14/1000</f>
        <v/>
      </c>
    </row>
    <row r="15" ht="18.5" customHeight="1" s="165">
      <c r="A15" s="145" t="inlineStr">
        <is>
          <t>Gyeongju</t>
        </is>
      </c>
      <c r="B15" s="152" t="inlineStr">
        <is>
          <t>Travel Distance (Round Trip)</t>
        </is>
      </c>
      <c r="C15" s="231" t="n">
        <v>103760</v>
      </c>
      <c r="D15" s="231" t="n"/>
      <c r="E15" s="231" t="n"/>
      <c r="F15" s="231" t="n"/>
      <c r="G15" s="231" t="n"/>
      <c r="H15" s="231" t="n"/>
      <c r="I15" s="69">
        <f>SUMPRODUCT($C$11:$H$11,C15:H15)</f>
        <v/>
      </c>
      <c r="J15" s="67">
        <f>I15/1000</f>
        <v/>
      </c>
      <c r="K15" s="232" t="n"/>
      <c r="L15" s="231" t="n"/>
      <c r="M15" s="231" t="n"/>
      <c r="N15" s="231" t="n"/>
      <c r="O15" s="231" t="n"/>
      <c r="P15" s="231" t="n">
        <v>221589</v>
      </c>
      <c r="Q15" s="69">
        <f>SUMPRODUCT($K$11:$P$11,K15:P15)</f>
        <v/>
      </c>
      <c r="R15" s="67">
        <f>Q15/1000</f>
        <v/>
      </c>
    </row>
    <row r="16" ht="18.5" customHeight="1" s="165">
      <c r="A16" s="145" t="inlineStr">
        <is>
          <t>Asan</t>
        </is>
      </c>
      <c r="B16" s="152" t="inlineStr">
        <is>
          <t>Travel Distance (Round Trip)</t>
        </is>
      </c>
      <c r="C16" s="231" t="n">
        <v>287325</v>
      </c>
      <c r="D16" s="231" t="n"/>
      <c r="E16" s="231" t="n"/>
      <c r="F16" s="231" t="n"/>
      <c r="G16" s="231" t="n"/>
      <c r="H16" s="231" t="n"/>
      <c r="I16" s="69">
        <f>SUMPRODUCT($C$11:$H$11,C16:H16)</f>
        <v/>
      </c>
      <c r="J16" s="67">
        <f>I16/1000</f>
        <v/>
      </c>
      <c r="K16" s="232" t="n">
        <v>284280</v>
      </c>
      <c r="L16" s="231" t="n"/>
      <c r="M16" s="231" t="n"/>
      <c r="N16" s="231" t="n"/>
      <c r="O16" s="231" t="n"/>
      <c r="P16" s="231" t="n"/>
      <c r="Q16" s="69">
        <f>SUMPRODUCT($K$11:$P$11,K16:P16)</f>
        <v/>
      </c>
      <c r="R16" s="67">
        <f>Q16/1000</f>
        <v/>
      </c>
    </row>
    <row r="17" ht="18.5" customHeight="1" s="165">
      <c r="A17" s="145" t="inlineStr">
        <is>
          <t>Gwangju</t>
        </is>
      </c>
      <c r="B17" s="152" t="inlineStr">
        <is>
          <t>Travel Distance (Round Trip)</t>
        </is>
      </c>
      <c r="C17" s="231" t="n">
        <v>29026.8</v>
      </c>
      <c r="D17" s="231" t="n">
        <v>3810</v>
      </c>
      <c r="E17" s="231" t="n"/>
      <c r="F17" s="231" t="n"/>
      <c r="G17" s="231" t="n"/>
      <c r="H17" s="231" t="n"/>
      <c r="I17" s="69">
        <f>SUMPRODUCT($C$11:$H$11,C17:H17)</f>
        <v/>
      </c>
      <c r="J17" s="67">
        <f>I17/1000</f>
        <v/>
      </c>
      <c r="K17" s="232" t="n">
        <v>255384</v>
      </c>
      <c r="L17" s="231" t="n"/>
      <c r="M17" s="231" t="n"/>
      <c r="N17" s="231" t="n"/>
      <c r="O17" s="231" t="n"/>
      <c r="P17" s="231" t="n">
        <v>44352</v>
      </c>
      <c r="Q17" s="69">
        <f>SUMPRODUCT($K$11:$P$11,K17:P17)</f>
        <v/>
      </c>
      <c r="R17" s="67">
        <f>Q17/1000</f>
        <v/>
      </c>
    </row>
    <row r="18" ht="18.5" customHeight="1" s="165">
      <c r="A18" s="145" t="inlineStr">
        <is>
          <t>Youngin</t>
        </is>
      </c>
      <c r="B18" s="152" t="inlineStr">
        <is>
          <t>Travel Distance (Round Trip)</t>
        </is>
      </c>
      <c r="C18" s="231" t="n">
        <v>5925</v>
      </c>
      <c r="D18" s="231" t="n">
        <v>2284</v>
      </c>
      <c r="E18" s="231" t="n"/>
      <c r="F18" s="231" t="n"/>
      <c r="G18" s="231" t="n"/>
      <c r="H18" s="231" t="n"/>
      <c r="I18" s="69">
        <f>SUMPRODUCT($C$11:$H$11,C18:H18)</f>
        <v/>
      </c>
      <c r="J18" s="67">
        <f>I18/1000</f>
        <v/>
      </c>
      <c r="K18" s="232" t="n">
        <v>131508</v>
      </c>
      <c r="L18" s="231" t="n"/>
      <c r="M18" s="231" t="n"/>
      <c r="N18" s="231" t="n"/>
      <c r="O18" s="231" t="n"/>
      <c r="P18" s="231" t="n">
        <v>39312</v>
      </c>
      <c r="Q18" s="69">
        <f>SUMPRODUCT($K$11:$P$11,K18:P18)</f>
        <v/>
      </c>
      <c r="R18" s="67">
        <f>Q18/1000</f>
        <v/>
      </c>
    </row>
    <row r="19" ht="18.5" customHeight="1" s="165">
      <c r="A19" s="145" t="inlineStr">
        <is>
          <t>Beijing</t>
        </is>
      </c>
      <c r="B19" s="152" t="inlineStr">
        <is>
          <t>Travel Distance (Round Trip)</t>
        </is>
      </c>
      <c r="C19" s="231" t="n">
        <v>79800</v>
      </c>
      <c r="D19" s="231" t="n"/>
      <c r="E19" s="231" t="n"/>
      <c r="F19" s="231" t="n"/>
      <c r="G19" s="231" t="n"/>
      <c r="H19" s="231" t="n"/>
      <c r="I19" s="69">
        <f>SUMPRODUCT($C$11:$H$11,C19:H19)</f>
        <v/>
      </c>
      <c r="J19" s="67">
        <f>I19/1000</f>
        <v/>
      </c>
      <c r="K19" s="232" t="n"/>
      <c r="L19" s="231" t="n"/>
      <c r="M19" s="231" t="n"/>
      <c r="N19" s="231" t="n"/>
      <c r="O19" s="231" t="n"/>
      <c r="P19" s="231" t="n"/>
      <c r="Q19" s="69">
        <f>SUMPRODUCT($K$11:$P$11,K19:P19)</f>
        <v/>
      </c>
      <c r="R19" s="67">
        <f>Q19/1000</f>
        <v/>
      </c>
    </row>
    <row r="20" ht="18.5" customHeight="1" s="165">
      <c r="A20" s="145" t="inlineStr">
        <is>
          <t>Yancheng</t>
        </is>
      </c>
      <c r="B20" s="152" t="inlineStr">
        <is>
          <t>Travel Distance (Round Trip)</t>
        </is>
      </c>
      <c r="C20" s="231" t="n"/>
      <c r="D20" s="231" t="n"/>
      <c r="E20" s="231" t="n"/>
      <c r="F20" s="231" t="n"/>
      <c r="G20" s="231" t="n"/>
      <c r="H20" s="231" t="n"/>
      <c r="I20" s="69">
        <f>SUMPRODUCT($C$11:$H$11,C20:H20)</f>
        <v/>
      </c>
      <c r="J20" s="67">
        <f>I20/1000</f>
        <v/>
      </c>
      <c r="K20" s="232" t="n">
        <v>432000</v>
      </c>
      <c r="L20" s="231" t="n"/>
      <c r="M20" s="231" t="n"/>
      <c r="N20" s="231" t="n"/>
      <c r="O20" s="231" t="n"/>
      <c r="P20" s="231" t="n"/>
      <c r="Q20" s="69">
        <f>SUMPRODUCT($K$11:$P$11,K20:P20)</f>
        <v/>
      </c>
      <c r="R20" s="67">
        <f>Q20/1000</f>
        <v/>
      </c>
    </row>
    <row r="21" ht="18.5" customHeight="1" s="165">
      <c r="A21" s="145" t="inlineStr">
        <is>
          <t>Mannur</t>
        </is>
      </c>
      <c r="B21" s="152" t="inlineStr">
        <is>
          <t>Travel Distance (Round Trip)</t>
        </is>
      </c>
      <c r="C21" s="231" t="n"/>
      <c r="D21" s="231" t="n"/>
      <c r="E21" s="231" t="n"/>
      <c r="F21" s="231" t="n"/>
      <c r="G21" s="231" t="n"/>
      <c r="H21" s="231" t="n"/>
      <c r="I21" s="69">
        <f>SUMPRODUCT($C$11:$H$11,C21:H21)</f>
        <v/>
      </c>
      <c r="J21" s="67">
        <f>I21/1000</f>
        <v/>
      </c>
      <c r="K21" s="232" t="n">
        <v>185188</v>
      </c>
      <c r="L21" s="231" t="n"/>
      <c r="M21" s="231" t="n"/>
      <c r="N21" s="231" t="n"/>
      <c r="O21" s="231" t="n"/>
      <c r="P21" s="231" t="n">
        <v>675457</v>
      </c>
      <c r="Q21" s="69">
        <f>SUMPRODUCT($K$11:$P$11,K21:P21)</f>
        <v/>
      </c>
      <c r="R21" s="67">
        <f>Q21/1000</f>
        <v/>
      </c>
    </row>
    <row r="22" ht="18.5" customHeight="1" s="165">
      <c r="A22" s="145" t="inlineStr">
        <is>
          <t>Orgadam</t>
        </is>
      </c>
      <c r="B22" s="152" t="inlineStr">
        <is>
          <t>Travel Distance (Round Trip)</t>
        </is>
      </c>
      <c r="C22" s="231" t="n"/>
      <c r="D22" s="231" t="n"/>
      <c r="E22" s="231" t="n"/>
      <c r="F22" s="231" t="n"/>
      <c r="G22" s="231" t="n"/>
      <c r="H22" s="231" t="n"/>
      <c r="I22" s="69">
        <f>SUMPRODUCT($C$11:$H$11,C22:H22)</f>
        <v/>
      </c>
      <c r="J22" s="67">
        <f>I22/1000</f>
        <v/>
      </c>
      <c r="K22" s="232" t="n">
        <v>3000</v>
      </c>
      <c r="L22" s="231" t="n"/>
      <c r="M22" s="231" t="n"/>
      <c r="N22" s="231" t="n"/>
      <c r="O22" s="231" t="n"/>
      <c r="P22" s="231" t="n">
        <v>702253</v>
      </c>
      <c r="Q22" s="69">
        <f>SUMPRODUCT($K$11:$P$11,K22:P22)</f>
        <v/>
      </c>
      <c r="R22" s="67">
        <f>Q22/1000</f>
        <v/>
      </c>
    </row>
    <row r="23" ht="18.5" customHeight="1" s="165">
      <c r="A23" s="145" t="inlineStr">
        <is>
          <t>Bangalore</t>
        </is>
      </c>
      <c r="B23" s="152" t="inlineStr">
        <is>
          <t>Travel Distance (Round Trip)</t>
        </is>
      </c>
      <c r="C23" s="231" t="n">
        <v>33710</v>
      </c>
      <c r="D23" s="231" t="n"/>
      <c r="E23" s="231" t="n"/>
      <c r="F23" s="231" t="n">
        <v>48829</v>
      </c>
      <c r="G23" s="231" t="n"/>
      <c r="H23" s="231" t="n"/>
      <c r="I23" s="69">
        <f>SUMPRODUCT($C$11:$H$11,C23:H23)</f>
        <v/>
      </c>
      <c r="J23" s="67">
        <f>I23/1000</f>
        <v/>
      </c>
      <c r="K23" s="232" t="n"/>
      <c r="L23" s="231" t="n"/>
      <c r="M23" s="231" t="n"/>
      <c r="N23" s="231" t="n"/>
      <c r="O23" s="231" t="n"/>
      <c r="P23" s="231" t="n"/>
      <c r="Q23" s="69">
        <f>SUMPRODUCT($K$11:$P$11,K23:P23)</f>
        <v/>
      </c>
      <c r="R23" s="67">
        <f>Q23/1000</f>
        <v/>
      </c>
    </row>
    <row r="24" ht="18.5" customHeight="1" s="165">
      <c r="A24" s="145" t="inlineStr">
        <is>
          <t>Pune</t>
        </is>
      </c>
      <c r="B24" s="152" t="inlineStr">
        <is>
          <t>Travel Distance (Round Trip)</t>
        </is>
      </c>
      <c r="C24" s="231" t="n"/>
      <c r="D24" s="231" t="n"/>
      <c r="E24" s="231" t="n"/>
      <c r="F24" s="231" t="n"/>
      <c r="G24" s="231" t="n"/>
      <c r="H24" s="231" t="n"/>
      <c r="I24" s="69">
        <f>SUMPRODUCT($C$11:$H$11,C24:H24)</f>
        <v/>
      </c>
      <c r="J24" s="67">
        <f>I24/1000</f>
        <v/>
      </c>
      <c r="K24" s="232" t="n">
        <v>110633</v>
      </c>
      <c r="L24" s="231" t="n"/>
      <c r="M24" s="231" t="n"/>
      <c r="N24" s="231" t="n"/>
      <c r="O24" s="231" t="n"/>
      <c r="P24" s="231" t="n">
        <v>59076</v>
      </c>
      <c r="Q24" s="69">
        <f>SUMPRODUCT($K$11:$P$11,K24:P24)</f>
        <v/>
      </c>
      <c r="R24" s="67">
        <f>Q24/1000</f>
        <v/>
      </c>
    </row>
    <row r="25" ht="18.5" customHeight="1" s="165">
      <c r="A25" s="145" t="inlineStr">
        <is>
          <t>Trzyniec</t>
        </is>
      </c>
      <c r="B25" s="152" t="inlineStr">
        <is>
          <t>Travel Distance (Round Trip)</t>
        </is>
      </c>
      <c r="C25" s="231" t="n"/>
      <c r="D25" s="231" t="n"/>
      <c r="E25" s="231" t="n"/>
      <c r="F25" s="231" t="n"/>
      <c r="G25" s="231" t="n"/>
      <c r="H25" s="231" t="n"/>
      <c r="I25" s="69">
        <f>SUMPRODUCT($C$11:$H$11,C25:H25)</f>
        <v/>
      </c>
      <c r="J25" s="67">
        <f>I25/1000</f>
        <v/>
      </c>
      <c r="K25" s="232" t="n"/>
      <c r="L25" s="231" t="n"/>
      <c r="M25" s="231" t="n"/>
      <c r="N25" s="231" t="n"/>
      <c r="O25" s="231" t="n"/>
      <c r="P25" s="231" t="n"/>
      <c r="Q25" s="69">
        <f>SUMPRODUCT($K$11:$P$11,K25:P25)</f>
        <v/>
      </c>
      <c r="R25" s="67">
        <f>Q25/1000</f>
        <v/>
      </c>
    </row>
    <row r="26" ht="18.5" customHeight="1" s="165">
      <c r="A26" s="145" t="inlineStr">
        <is>
          <t>Žilina</t>
        </is>
      </c>
      <c r="B26" s="152" t="inlineStr">
        <is>
          <t>Travel Distance (Round Trip)</t>
        </is>
      </c>
      <c r="C26" s="231" t="n"/>
      <c r="D26" s="231" t="n"/>
      <c r="E26" s="231" t="n"/>
      <c r="F26" s="231" t="n"/>
      <c r="G26" s="231" t="n"/>
      <c r="H26" s="231" t="n"/>
      <c r="I26" s="69">
        <f>SUMPRODUCT($C$11:$H$11,C26:H26)</f>
        <v/>
      </c>
      <c r="J26" s="67">
        <f>I26/1000</f>
        <v/>
      </c>
      <c r="K26" s="232" t="n"/>
      <c r="L26" s="231" t="n"/>
      <c r="M26" s="231" t="n"/>
      <c r="N26" s="231" t="n"/>
      <c r="O26" s="231" t="n"/>
      <c r="P26" s="231" t="n"/>
      <c r="Q26" s="69">
        <f>SUMPRODUCT($K$11:$P$11,K26:P26)</f>
        <v/>
      </c>
      <c r="R26" s="67">
        <f>Q26/1000</f>
        <v/>
      </c>
    </row>
    <row r="27" ht="18.5" customHeight="1" s="165">
      <c r="A27" s="145" t="inlineStr">
        <is>
          <t>Bystřice</t>
        </is>
      </c>
      <c r="B27" s="152" t="inlineStr">
        <is>
          <t>Travel Distance (Round Trip)</t>
        </is>
      </c>
      <c r="C27" s="231" t="n"/>
      <c r="D27" s="231" t="n"/>
      <c r="E27" s="231" t="n"/>
      <c r="F27" s="231" t="n"/>
      <c r="G27" s="231" t="n"/>
      <c r="H27" s="231" t="n"/>
      <c r="I27" s="69">
        <f>SUMPRODUCT($C$11:$H$11,C27:H27)</f>
        <v/>
      </c>
      <c r="J27" s="67">
        <f>I27/1000</f>
        <v/>
      </c>
      <c r="K27" s="232" t="n">
        <v>136244</v>
      </c>
      <c r="L27" s="231" t="n"/>
      <c r="M27" s="231" t="n"/>
      <c r="N27" s="231" t="n">
        <v>22848</v>
      </c>
      <c r="O27" s="231" t="n"/>
      <c r="P27" s="231" t="n">
        <v>501704</v>
      </c>
      <c r="Q27" s="69">
        <f>SUMPRODUCT($K$11:$P$11,K27:P27)</f>
        <v/>
      </c>
      <c r="R27" s="67">
        <f>Q27/1000</f>
        <v/>
      </c>
    </row>
    <row r="28" ht="18.5" customHeight="1" s="165">
      <c r="A28" s="145" t="inlineStr">
        <is>
          <t>Lipovice</t>
        </is>
      </c>
      <c r="B28" s="152" t="inlineStr">
        <is>
          <t>Travel Distance (Round Trip)</t>
        </is>
      </c>
      <c r="C28" s="231" t="n"/>
      <c r="D28" s="231" t="n"/>
      <c r="E28" s="231" t="n"/>
      <c r="F28" s="231" t="n"/>
      <c r="G28" s="231" t="n"/>
      <c r="H28" s="231" t="n"/>
      <c r="I28" s="69">
        <f>SUMPRODUCT($C$11:$H$11,C28:H28)</f>
        <v/>
      </c>
      <c r="J28" s="67">
        <f>I28/1000</f>
        <v/>
      </c>
      <c r="K28" s="232" t="n">
        <v>1704</v>
      </c>
      <c r="L28" s="231" t="n"/>
      <c r="M28" s="231" t="n"/>
      <c r="N28" s="231" t="n"/>
      <c r="O28" s="231" t="n"/>
      <c r="P28" s="231" t="n"/>
      <c r="Q28" s="69">
        <f>SUMPRODUCT($K$11:$P$11,K28:P28)</f>
        <v/>
      </c>
      <c r="R28" s="67">
        <f>Q28/1000</f>
        <v/>
      </c>
    </row>
    <row r="29" ht="18.5" customHeight="1" s="165">
      <c r="A29" s="145" t="inlineStr">
        <is>
          <t>Mikulov</t>
        </is>
      </c>
      <c r="B29" s="152" t="inlineStr">
        <is>
          <t>Travel Distance (Round Trip)</t>
        </is>
      </c>
      <c r="C29" s="231" t="n">
        <v>143659</v>
      </c>
      <c r="D29" s="231" t="n"/>
      <c r="E29" s="231" t="n"/>
      <c r="F29" s="231" t="n">
        <v>8228</v>
      </c>
      <c r="G29" s="231" t="n"/>
      <c r="H29" s="231" t="n"/>
      <c r="I29" s="69">
        <f>SUMPRODUCT($C$11:$H$11,C29:H29)</f>
        <v/>
      </c>
      <c r="J29" s="67">
        <f>I29/1000</f>
        <v/>
      </c>
      <c r="K29" s="232" t="n"/>
      <c r="L29" s="231" t="n"/>
      <c r="M29" s="231" t="n"/>
      <c r="N29" s="231" t="n"/>
      <c r="O29" s="231" t="n"/>
      <c r="P29" s="231" t="n"/>
      <c r="Q29" s="69">
        <f>SUMPRODUCT($K$11:$P$11,K29:P29)</f>
        <v/>
      </c>
      <c r="R29" s="67">
        <f>Q29/1000</f>
        <v/>
      </c>
    </row>
    <row r="30" ht="18.5" customHeight="1" s="165">
      <c r="A30" s="145" t="inlineStr">
        <is>
          <t>İzmit</t>
        </is>
      </c>
      <c r="B30" s="152" t="inlineStr">
        <is>
          <t>Travel Distance (Round Trip)</t>
        </is>
      </c>
      <c r="C30" s="231" t="n"/>
      <c r="D30" s="231" t="n"/>
      <c r="E30" s="231" t="n"/>
      <c r="F30" s="231" t="n"/>
      <c r="G30" s="231" t="n"/>
      <c r="H30" s="231" t="n"/>
      <c r="I30" s="69">
        <f>SUMPRODUCT($C$11:$H$11,C30:H30)</f>
        <v/>
      </c>
      <c r="J30" s="67">
        <f>I30/1000</f>
        <v/>
      </c>
      <c r="K30" s="232" t="n"/>
      <c r="L30" s="231" t="n"/>
      <c r="M30" s="231" t="n"/>
      <c r="N30" s="231" t="n"/>
      <c r="O30" s="231" t="n"/>
      <c r="P30" s="231" t="n"/>
      <c r="Q30" s="69">
        <f>SUMPRODUCT($K$11:$P$11,K30:P30)</f>
        <v/>
      </c>
      <c r="R30" s="67">
        <f>Q30/1000</f>
        <v/>
      </c>
    </row>
    <row r="31" ht="18.5" customHeight="1" s="165">
      <c r="A31" s="145" t="inlineStr">
        <is>
          <t>Bekasi</t>
        </is>
      </c>
      <c r="B31" s="152" t="inlineStr">
        <is>
          <t>Travel Distance (Round Trip)</t>
        </is>
      </c>
      <c r="C31" s="231" t="n">
        <v>3722.4</v>
      </c>
      <c r="D31" s="231" t="n"/>
      <c r="E31" s="231" t="n"/>
      <c r="F31" s="231" t="n"/>
      <c r="G31" s="231" t="n"/>
      <c r="H31" s="231" t="n"/>
      <c r="I31" s="69">
        <f>SUMPRODUCT($C$11:$H$11,C31:H31)</f>
        <v/>
      </c>
      <c r="J31" s="67">
        <f>I31/1000</f>
        <v/>
      </c>
      <c r="K31" s="232" t="n">
        <v>108314.8</v>
      </c>
      <c r="L31" s="231" t="n"/>
      <c r="M31" s="231" t="n"/>
      <c r="N31" s="231" t="n"/>
      <c r="O31" s="231" t="n"/>
      <c r="P31" s="231" t="n"/>
      <c r="Q31" s="69">
        <f>SUMPRODUCT($K$11:$P$11,K31:P31)</f>
        <v/>
      </c>
      <c r="R31" s="67">
        <f>Q31/1000</f>
        <v/>
      </c>
    </row>
    <row r="32" ht="18.5" customHeight="1" s="165">
      <c r="A32" s="145" t="inlineStr">
        <is>
          <t>Indiana</t>
        </is>
      </c>
      <c r="B32" s="152" t="inlineStr">
        <is>
          <t>Travel Distance (Round Trip)</t>
        </is>
      </c>
      <c r="C32" s="231" t="n">
        <v>14434</v>
      </c>
      <c r="D32" s="231" t="n"/>
      <c r="E32" s="231" t="n"/>
      <c r="F32" s="231" t="n"/>
      <c r="G32" s="231" t="n"/>
      <c r="H32" s="231" t="n">
        <v>1764</v>
      </c>
      <c r="I32" s="69">
        <f>SUMPRODUCT($C$11:$H$11,C32:H32)</f>
        <v/>
      </c>
      <c r="J32" s="67">
        <f>I32/1000</f>
        <v/>
      </c>
      <c r="K32" s="232" t="n">
        <v>39121</v>
      </c>
      <c r="L32" s="231" t="n"/>
      <c r="M32" s="231" t="n"/>
      <c r="N32" s="231" t="n"/>
      <c r="O32" s="231" t="n"/>
      <c r="P32" s="231" t="n"/>
      <c r="Q32" s="69">
        <f>SUMPRODUCT($K$11:$P$11,K32:P32)</f>
        <v/>
      </c>
      <c r="R32" s="67">
        <f>Q32/1000</f>
        <v/>
      </c>
    </row>
    <row r="33" ht="18.5" customHeight="1" s="165">
      <c r="A33" s="145" t="inlineStr">
        <is>
          <t>Alabama</t>
        </is>
      </c>
      <c r="B33" s="152" t="inlineStr">
        <is>
          <t>Travel Distance (Round Trip)</t>
        </is>
      </c>
      <c r="C33" s="231" t="n">
        <v>240740</v>
      </c>
      <c r="D33" s="231" t="n"/>
      <c r="E33" s="231" t="n"/>
      <c r="F33" s="231" t="n"/>
      <c r="G33" s="231" t="n"/>
      <c r="H33" s="231" t="n">
        <v>126258</v>
      </c>
      <c r="I33" s="69">
        <f>SUMPRODUCT($C$11:$H$11,C33:H33)</f>
        <v/>
      </c>
      <c r="J33" s="67">
        <f>I33/1000</f>
        <v/>
      </c>
      <c r="K33" s="232" t="n"/>
      <c r="L33" s="231" t="n"/>
      <c r="M33" s="231" t="n"/>
      <c r="N33" s="231" t="n"/>
      <c r="O33" s="231" t="n"/>
      <c r="P33" s="231" t="n"/>
      <c r="Q33" s="69">
        <f>SUMPRODUCT($K$11:$P$11,K33:P33)</f>
        <v/>
      </c>
      <c r="R33" s="67">
        <f>Q33/1000</f>
        <v/>
      </c>
    </row>
    <row r="34" ht="18.5" customHeight="1" s="165">
      <c r="A34" s="145" t="inlineStr">
        <is>
          <t>Savannah</t>
        </is>
      </c>
      <c r="B34" s="152" t="inlineStr">
        <is>
          <t>Travel Distance (Round Trip)</t>
        </is>
      </c>
      <c r="C34" s="231" t="n">
        <v>1555</v>
      </c>
      <c r="D34" s="231" t="n"/>
      <c r="E34" s="231" t="n"/>
      <c r="F34" s="231" t="n"/>
      <c r="G34" s="231" t="n"/>
      <c r="H34" s="231" t="n">
        <v>4184</v>
      </c>
      <c r="I34" s="69">
        <f>SUMPRODUCT($C$11:$H$11,C34:H34)</f>
        <v/>
      </c>
      <c r="J34" s="67">
        <f>I34/1000</f>
        <v/>
      </c>
      <c r="K34" s="232" t="n">
        <v>115544</v>
      </c>
      <c r="L34" s="231" t="n"/>
      <c r="M34" s="231" t="n"/>
      <c r="N34" s="231" t="n"/>
      <c r="O34" s="231" t="n"/>
      <c r="P34" s="231" t="n"/>
      <c r="Q34" s="69">
        <f>SUMPRODUCT($K$11:$P$11,K34:P34)</f>
        <v/>
      </c>
      <c r="R34" s="67">
        <f>Q34/1000</f>
        <v/>
      </c>
    </row>
    <row r="35" ht="22" customHeight="1" s="165" thickBot="1">
      <c r="A35" s="142" t="inlineStr">
        <is>
          <t>Total</t>
        </is>
      </c>
      <c r="B35" s="187" t="n"/>
      <c r="C35" s="9">
        <f>SUM(C13:C34)</f>
        <v/>
      </c>
      <c r="D35" s="9">
        <f>SUM(D13:D34)</f>
        <v/>
      </c>
      <c r="E35" s="9">
        <f>SUM(E13:E34)</f>
        <v/>
      </c>
      <c r="F35" s="9">
        <f>SUM(F13:F34)</f>
        <v/>
      </c>
      <c r="G35" s="9">
        <f>SUM(G13:G34)</f>
        <v/>
      </c>
      <c r="H35" s="9">
        <f>SUM(H13:H34)</f>
        <v/>
      </c>
      <c r="I35" s="12">
        <f>SUM(I13:I34)</f>
        <v/>
      </c>
      <c r="J35" s="15">
        <f>SUM(J13:J34)</f>
        <v/>
      </c>
      <c r="K35" s="102">
        <f>SUM(K13:K34)</f>
        <v/>
      </c>
      <c r="L35" s="9">
        <f>SUM(L13:L34)</f>
        <v/>
      </c>
      <c r="M35" s="9">
        <f>SUM(M13:M34)</f>
        <v/>
      </c>
      <c r="N35" s="9">
        <f>SUM(N13:N34)</f>
        <v/>
      </c>
      <c r="O35" s="9">
        <f>SUM(O13:O34)</f>
        <v/>
      </c>
      <c r="P35" s="9">
        <f>SUM(P13:P34)</f>
        <v/>
      </c>
      <c r="Q35" s="12">
        <f>SUM(Q13:Q34)</f>
        <v/>
      </c>
      <c r="R35" s="15">
        <f>SUM(R13:R34)</f>
        <v/>
      </c>
    </row>
  </sheetData>
  <mergeCells count="6">
    <mergeCell ref="F4:G5"/>
    <mergeCell ref="H4:I5"/>
    <mergeCell ref="A11:B11"/>
    <mergeCell ref="C9:J9"/>
    <mergeCell ref="K9:R9"/>
    <mergeCell ref="A35:B35"/>
  </mergeCells>
  <pageMargins left="0.2362204724409449" right="0.2362204724409449" top="0.7480314960629921" bottom="0.3543307086614174" header="0.3149606299212598" footer="0.3149606299212598"/>
  <pageSetup orientation="landscape" paperSize="9" scale="47" fitToHeight="0" verticalDpi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R103"/>
  <sheetViews>
    <sheetView showGridLines="0" zoomScale="70" zoomScaleNormal="70" zoomScaleSheetLayoutView="70" workbookViewId="0">
      <selection activeCell="A3" sqref="A3"/>
    </sheetView>
  </sheetViews>
  <sheetFormatPr baseColWidth="8" defaultRowHeight="13"/>
  <cols>
    <col width="11.9140625" customWidth="1" style="2" min="1" max="1"/>
    <col width="14.6640625" bestFit="1" customWidth="1" style="53" min="2" max="2"/>
    <col width="16" customWidth="1" style="2" min="3" max="70"/>
    <col width="8.6640625" customWidth="1" style="2" min="71" max="73"/>
    <col width="15.58203125" bestFit="1" customWidth="1" style="2" min="74" max="74"/>
    <col width="8.6640625" customWidth="1" style="2" min="75" max="16384"/>
  </cols>
  <sheetData>
    <row r="1" ht="23.5" customHeight="1" s="165">
      <c r="A1" s="32" t="inlineStr">
        <is>
          <t>◆ SCOPE 3 Carbon Emissions – Cat 9. Downstream Transportation and Distribution</t>
        </is>
      </c>
    </row>
    <row r="2">
      <c r="Q2" s="45" t="inlineStr">
        <is>
          <t>Classification</t>
        </is>
      </c>
      <c r="R2" s="45" t="inlineStr">
        <is>
          <t>Emission Factor</t>
        </is>
      </c>
      <c r="BD2" s="45" t="inlineStr">
        <is>
          <t>Combined Transport</t>
        </is>
      </c>
      <c r="BE2" s="45" t="inlineStr">
        <is>
          <t>Combined Transport</t>
        </is>
      </c>
      <c r="BF2" s="45" t="inlineStr">
        <is>
          <t>Combined Transport</t>
        </is>
      </c>
      <c r="BG2" s="45" t="inlineStr">
        <is>
          <t>Combined Transport</t>
        </is>
      </c>
      <c r="BH2" s="45" t="inlineStr">
        <is>
          <t>Combined Transport</t>
        </is>
      </c>
      <c r="BI2" s="45" t="inlineStr">
        <is>
          <t>Combined Transport</t>
        </is>
      </c>
      <c r="BJ2" s="45" t="inlineStr">
        <is>
          <t>Combined Transport</t>
        </is>
      </c>
      <c r="BK2" s="45" t="inlineStr">
        <is>
          <t>Combined Transport</t>
        </is>
      </c>
      <c r="BL2" s="45" t="inlineStr">
        <is>
          <t>Combined Transport</t>
        </is>
      </c>
      <c r="BM2" s="45" t="inlineStr">
        <is>
          <t>Combined Transport</t>
        </is>
      </c>
      <c r="BN2" s="45" t="inlineStr">
        <is>
          <t>Combined Transport</t>
        </is>
      </c>
      <c r="BO2" s="45" t="inlineStr">
        <is>
          <t>Combined Transport</t>
        </is>
      </c>
      <c r="BP2" s="45" t="inlineStr">
        <is>
          <t>Combined Transport</t>
        </is>
      </c>
      <c r="BQ2" s="45" t="inlineStr">
        <is>
          <t>Select</t>
        </is>
      </c>
      <c r="BR2" s="45" t="inlineStr">
        <is>
          <t>Transport Distance</t>
        </is>
      </c>
    </row>
    <row r="3" ht="26.5" customHeight="1" s="165" thickBot="1">
      <c r="A3" s="163" t="inlineStr">
        <is>
          <t>※ Collection period: 2025 Jan 1 – Dec 31</t>
        </is>
      </c>
      <c r="B3" s="54" t="n"/>
      <c r="C3" s="34" t="n"/>
      <c r="F3" s="35" t="inlineStr">
        <is>
          <t>※ Scope 3 Cat 9 Total Emissions</t>
        </is>
      </c>
      <c r="G3" s="31" t="n"/>
      <c r="Q3" s="45" t="inlineStr">
        <is>
          <t>Truck</t>
        </is>
      </c>
      <c r="R3" s="209" t="n">
        <v>9.3e-05</v>
      </c>
      <c r="BD3" s="43" t="inlineStr">
        <is>
          <t>Air + Truck</t>
        </is>
      </c>
      <c r="BE3" s="43" t="inlineStr">
        <is>
          <t>Air + Truck</t>
        </is>
      </c>
      <c r="BF3" s="43" t="inlineStr">
        <is>
          <t>Air + Truck</t>
        </is>
      </c>
      <c r="BG3" s="43" t="inlineStr">
        <is>
          <t>Air + Truck</t>
        </is>
      </c>
      <c r="BH3" s="43" t="inlineStr">
        <is>
          <t>Air + Truck</t>
        </is>
      </c>
      <c r="BI3" s="43" t="inlineStr">
        <is>
          <t>Air + Truck</t>
        </is>
      </c>
      <c r="BJ3" s="43" t="inlineStr">
        <is>
          <t>Air + Truck</t>
        </is>
      </c>
      <c r="BK3" s="43" t="inlineStr">
        <is>
          <t>Air + Truck</t>
        </is>
      </c>
      <c r="BL3" s="43" t="inlineStr">
        <is>
          <t>Air + Truck</t>
        </is>
      </c>
      <c r="BM3" s="43" t="inlineStr">
        <is>
          <t>Air + Truck</t>
        </is>
      </c>
      <c r="BN3" s="43" t="inlineStr">
        <is>
          <t>Air + Truck</t>
        </is>
      </c>
      <c r="BO3" s="43" t="inlineStr">
        <is>
          <t>Air + Truck</t>
        </is>
      </c>
      <c r="BP3" s="43" t="inlineStr">
        <is>
          <t>Air + Truck</t>
        </is>
      </c>
      <c r="BQ3" s="43" t="inlineStr">
        <is>
          <t>Air</t>
        </is>
      </c>
      <c r="BR3" s="43" t="inlineStr">
        <is>
          <t>Air distance only</t>
        </is>
      </c>
    </row>
    <row r="4" ht="26.5" customHeight="1" s="165">
      <c r="A4" s="33" t="inlineStr">
        <is>
          <t>※ Note: Select transport mode from dropdown [based on primary transport mode] → Light green cells</t>
        </is>
      </c>
      <c r="B4" s="54" t="n"/>
      <c r="C4" s="34" t="n"/>
      <c r="F4" s="182">
        <f>BR103</f>
        <v/>
      </c>
      <c r="G4" s="183" t="n"/>
      <c r="Q4" s="45" t="inlineStr">
        <is>
          <t>Rail</t>
        </is>
      </c>
      <c r="R4" s="209" t="n">
        <v>0.03507</v>
      </c>
      <c r="BD4" s="43" t="inlineStr">
        <is>
          <t>Rail + Truck</t>
        </is>
      </c>
      <c r="BE4" s="43" t="inlineStr">
        <is>
          <t>Rail + Truck</t>
        </is>
      </c>
      <c r="BF4" s="43" t="inlineStr">
        <is>
          <t>Rail + Truck</t>
        </is>
      </c>
      <c r="BG4" s="43" t="inlineStr">
        <is>
          <t>Rail + Truck</t>
        </is>
      </c>
      <c r="BH4" s="43" t="inlineStr">
        <is>
          <t>Rail + Truck</t>
        </is>
      </c>
      <c r="BI4" s="43" t="inlineStr">
        <is>
          <t>Rail + Truck</t>
        </is>
      </c>
      <c r="BJ4" s="43" t="inlineStr">
        <is>
          <t>Rail + Truck</t>
        </is>
      </c>
      <c r="BK4" s="43" t="inlineStr">
        <is>
          <t>Rail + Truck</t>
        </is>
      </c>
      <c r="BL4" s="43" t="inlineStr">
        <is>
          <t>Rail + Truck</t>
        </is>
      </c>
      <c r="BM4" s="43" t="inlineStr">
        <is>
          <t>Rail + Truck</t>
        </is>
      </c>
      <c r="BN4" s="43" t="inlineStr">
        <is>
          <t>Rail + Truck</t>
        </is>
      </c>
      <c r="BO4" s="43" t="inlineStr">
        <is>
          <t>Rail + Truck</t>
        </is>
      </c>
      <c r="BP4" s="43" t="inlineStr">
        <is>
          <t>Rail + Truck</t>
        </is>
      </c>
      <c r="BQ4" s="43" t="inlineStr">
        <is>
          <t>Rail</t>
        </is>
      </c>
      <c r="BR4" s="43" t="inlineStr">
        <is>
          <t>Rail distance only</t>
        </is>
      </c>
    </row>
    <row r="5" ht="26.5" customHeight="1" s="165" thickBot="1">
      <c r="A5" s="33" t="inlineStr">
        <is>
          <t>Annual travel distance: from subsidiary to customer delivery → Blue cells</t>
        </is>
      </c>
      <c r="B5" s="55" t="n"/>
      <c r="C5" s="34" t="n"/>
      <c r="F5" s="184" t="n"/>
      <c r="G5" s="185" t="n"/>
      <c r="Q5" s="45" t="inlineStr">
        <is>
          <t>Air</t>
        </is>
      </c>
      <c r="R5" s="209" t="n">
        <v>1</v>
      </c>
      <c r="BD5" s="43" t="inlineStr">
        <is>
          <t>Sea + Truck</t>
        </is>
      </c>
      <c r="BE5" s="43" t="inlineStr">
        <is>
          <t>Sea + Truck</t>
        </is>
      </c>
      <c r="BF5" s="43" t="inlineStr">
        <is>
          <t>Sea + Truck</t>
        </is>
      </c>
      <c r="BG5" s="43" t="inlineStr">
        <is>
          <t>Sea + Truck</t>
        </is>
      </c>
      <c r="BH5" s="43" t="inlineStr">
        <is>
          <t>Sea + Truck</t>
        </is>
      </c>
      <c r="BI5" s="43" t="inlineStr">
        <is>
          <t>Sea + Truck</t>
        </is>
      </c>
      <c r="BJ5" s="43" t="inlineStr">
        <is>
          <t>Sea + Truck</t>
        </is>
      </c>
      <c r="BK5" s="43" t="inlineStr">
        <is>
          <t>Sea + Truck</t>
        </is>
      </c>
      <c r="BL5" s="43" t="inlineStr">
        <is>
          <t>Sea + Truck</t>
        </is>
      </c>
      <c r="BM5" s="43" t="inlineStr">
        <is>
          <t>Sea + Truck</t>
        </is>
      </c>
      <c r="BN5" s="43" t="inlineStr">
        <is>
          <t>Sea + Truck</t>
        </is>
      </c>
      <c r="BO5" s="43" t="inlineStr">
        <is>
          <t>Sea + Truck</t>
        </is>
      </c>
      <c r="BP5" s="43" t="inlineStr">
        <is>
          <t>Sea + Truck</t>
        </is>
      </c>
      <c r="BQ5" s="43" t="inlineStr">
        <is>
          <t>Sea</t>
        </is>
      </c>
      <c r="BR5" s="43" t="inlineStr">
        <is>
          <t>Sea distance only</t>
        </is>
      </c>
    </row>
    <row r="6" ht="26.5" customHeight="1" s="165">
      <c r="A6" s="33" t="inlineStr">
        <is>
          <t>Annual total distance (one-way basis)</t>
        </is>
      </c>
      <c r="Q6" s="45" t="inlineStr">
        <is>
          <t>Ocean Vessel</t>
        </is>
      </c>
      <c r="R6" s="209" t="n">
        <v>9.6e-06</v>
      </c>
    </row>
    <row r="7" ht="26.5" customHeight="1" s="165">
      <c r="A7" s="33" t="inlineStr">
        <is>
          <t>Total sold weight: weight per item × total delivery qty → Light pink cells</t>
        </is>
      </c>
      <c r="Q7" s="45" t="inlineStr">
        <is>
          <t>Ocean Vessel</t>
        </is>
      </c>
      <c r="R7" s="209" t="n">
        <v>9.6e-06</v>
      </c>
    </row>
    <row r="8" ht="23.5" customHeight="1" s="165">
      <c r="C8" s="233" t="n"/>
      <c r="D8" s="233" t="n"/>
      <c r="E8" s="233" t="n"/>
      <c r="F8" s="233" t="n"/>
      <c r="G8" s="233" t="n"/>
      <c r="H8" s="233" t="n"/>
      <c r="I8" s="233" t="n"/>
      <c r="J8" s="233" t="n"/>
      <c r="K8" s="233" t="n"/>
      <c r="L8" s="233" t="n"/>
      <c r="M8" s="233" t="n"/>
      <c r="N8" s="233" t="n"/>
      <c r="O8" s="233" t="n"/>
      <c r="P8" s="233" t="n"/>
      <c r="Q8" s="233" t="n"/>
      <c r="R8" s="233" t="n"/>
      <c r="S8" s="233" t="n"/>
      <c r="T8" s="233" t="n"/>
      <c r="U8" s="233" t="n"/>
      <c r="V8" s="233" t="n"/>
      <c r="W8" s="233" t="n"/>
      <c r="X8" s="233" t="n"/>
      <c r="Y8" s="233" t="n"/>
      <c r="Z8" s="233" t="n"/>
      <c r="AA8" s="233" t="n"/>
      <c r="AB8" s="233" t="n"/>
      <c r="AC8" s="233" t="n"/>
      <c r="AD8" s="233" t="n"/>
      <c r="AE8" s="233" t="n"/>
      <c r="AF8" s="233" t="n"/>
      <c r="AG8" s="233" t="n"/>
      <c r="AH8" s="233" t="n"/>
      <c r="AI8" s="233" t="n"/>
      <c r="AJ8" s="233" t="n"/>
      <c r="AK8" s="233" t="n"/>
      <c r="AL8" s="233" t="n"/>
      <c r="AM8" s="233" t="n"/>
      <c r="AN8" s="233" t="n"/>
      <c r="AO8" s="233" t="n"/>
      <c r="AP8" s="233" t="n"/>
      <c r="AQ8" s="233" t="n"/>
      <c r="AR8" s="233" t="n"/>
      <c r="AS8" s="233" t="n"/>
      <c r="AT8" s="233" t="n"/>
      <c r="AU8" s="233" t="n"/>
      <c r="AV8" s="233" t="n"/>
      <c r="AW8" s="233" t="n"/>
      <c r="AX8" s="233" t="n"/>
      <c r="AY8" s="233" t="n"/>
      <c r="AZ8" s="233" t="n"/>
      <c r="BA8" s="233" t="n"/>
      <c r="BB8" s="233" t="n"/>
      <c r="BC8" s="233" t="n"/>
      <c r="BD8" s="233" t="n"/>
      <c r="BE8" s="233" t="n"/>
      <c r="BF8" s="233" t="n"/>
      <c r="BG8" s="233" t="n"/>
      <c r="BH8" s="233" t="n"/>
      <c r="BI8" s="233" t="n"/>
      <c r="BJ8" s="233" t="n"/>
      <c r="BK8" s="233" t="n"/>
      <c r="BL8" s="233" t="n"/>
      <c r="BM8" s="233" t="n"/>
      <c r="BN8" s="233" t="n"/>
      <c r="BO8" s="233" t="n"/>
      <c r="BP8" s="233" t="n"/>
    </row>
    <row r="9" ht="20.5" customFormat="1" customHeight="1" s="80" thickBot="1">
      <c r="B9" s="81" t="n"/>
      <c r="C9" s="84" t="n"/>
      <c r="D9" s="84" t="n"/>
      <c r="E9" s="84" t="n"/>
      <c r="F9" s="84" t="n"/>
      <c r="G9" s="84" t="n"/>
      <c r="H9" s="84" t="n"/>
      <c r="I9" s="84" t="n"/>
      <c r="J9" s="82" t="n"/>
      <c r="K9" s="83" t="n"/>
      <c r="L9" s="83" t="n"/>
      <c r="M9" s="83" t="n"/>
      <c r="N9" s="83" t="n"/>
      <c r="O9" s="83" t="n"/>
      <c r="P9" s="83" t="n"/>
      <c r="Q9" s="83" t="n"/>
      <c r="R9" s="157" t="inlineStr">
        <is>
          <t>If additional customers, specify and add to corresponding cells</t>
        </is>
      </c>
      <c r="S9" s="186" t="n"/>
      <c r="T9" s="186" t="n"/>
      <c r="U9" s="186" t="n"/>
      <c r="V9" s="186" t="n"/>
      <c r="W9" s="186" t="n"/>
      <c r="X9" s="186" t="n"/>
      <c r="Y9" s="186" t="n"/>
      <c r="Z9" s="186" t="n"/>
      <c r="AA9" s="186" t="n"/>
      <c r="AB9" s="186" t="n"/>
      <c r="AC9" s="186" t="n"/>
      <c r="AD9" s="186" t="n"/>
      <c r="AE9" s="186" t="n"/>
      <c r="AF9" s="186" t="n"/>
      <c r="AG9" s="186" t="n"/>
      <c r="AH9" s="186" t="n"/>
      <c r="AI9" s="186" t="n"/>
      <c r="AJ9" s="186" t="n"/>
      <c r="AK9" s="186" t="n"/>
      <c r="AL9" s="186" t="n"/>
      <c r="AM9" s="186" t="n"/>
      <c r="AN9" s="186" t="n"/>
      <c r="AO9" s="186" t="n"/>
      <c r="AP9" s="186" t="n"/>
      <c r="AQ9" s="186" t="n"/>
      <c r="AR9" s="186" t="n"/>
      <c r="AS9" s="186" t="n"/>
      <c r="AT9" s="186" t="n"/>
      <c r="AU9" s="186" t="n"/>
      <c r="AV9" s="186" t="n"/>
      <c r="AW9" s="186" t="n"/>
      <c r="AX9" s="186" t="n"/>
      <c r="AY9" s="186" t="n"/>
      <c r="AZ9" s="186" t="n"/>
      <c r="BA9" s="186" t="n"/>
      <c r="BB9" s="186" t="n"/>
      <c r="BC9" s="186" t="n"/>
      <c r="BD9" s="186" t="n"/>
      <c r="BE9" s="186" t="n"/>
      <c r="BF9" s="186" t="n"/>
      <c r="BG9" s="186" t="n"/>
      <c r="BH9" s="186" t="n"/>
      <c r="BI9" s="186" t="n"/>
      <c r="BJ9" s="186" t="n"/>
      <c r="BK9" s="186" t="n"/>
      <c r="BL9" s="186" t="n"/>
      <c r="BM9" s="186" t="n"/>
      <c r="BN9" s="186" t="n"/>
      <c r="BO9" s="186" t="n"/>
      <c r="BP9" s="186" t="n"/>
    </row>
    <row r="10" ht="36.5" customHeight="1" s="165">
      <c r="A10" s="29" t="inlineStr">
        <is>
          <t>By subsidiary</t>
        </is>
      </c>
      <c r="B10" s="29" t="inlineStr">
        <is>
          <t>Classification</t>
        </is>
      </c>
      <c r="C10" s="30" t="inlineStr">
        <is>
          <t>HMC
(Hyundai Direct Supply)</t>
        </is>
      </c>
      <c r="D10" s="29" t="inlineStr">
        <is>
          <t>Transys</t>
        </is>
      </c>
      <c r="E10" s="29" t="inlineStr">
        <is>
          <t>Adient</t>
        </is>
      </c>
      <c r="F10" s="29" t="inlineStr">
        <is>
          <t>Lear</t>
        </is>
      </c>
      <c r="G10" s="29" t="inlineStr">
        <is>
          <t>Mobis</t>
        </is>
      </c>
      <c r="H10" s="29" t="inlineStr">
        <is>
          <t>Daeyu Atech</t>
        </is>
      </c>
      <c r="I10" s="30" t="inlineStr">
        <is>
          <t>Daewon Precision</t>
        </is>
      </c>
      <c r="J10" s="30" t="inlineStr">
        <is>
          <t>DAS</t>
        </is>
      </c>
      <c r="K10" s="29" t="inlineStr">
        <is>
          <t>Seohyun Ihwa</t>
        </is>
      </c>
      <c r="L10" s="29" t="inlineStr">
        <is>
          <t>Geumchang</t>
        </is>
      </c>
      <c r="M10" s="29" t="inlineStr">
        <is>
          <t>Gwangmyeong</t>
        </is>
      </c>
      <c r="N10" s="29" t="inlineStr">
        <is>
          <t>NHK</t>
        </is>
      </c>
      <c r="O10" s="29" t="inlineStr">
        <is>
          <t>Magna</t>
        </is>
      </c>
      <c r="P10" s="29" t="inlineStr">
        <is>
          <t>Samsung SDI</t>
        </is>
      </c>
      <c r="Q10" s="29" t="inlineStr">
        <is>
          <t>TS-TECH</t>
        </is>
      </c>
      <c r="R10" s="29" t="inlineStr">
        <is>
          <t>Asan DAS</t>
        </is>
      </c>
      <c r="S10" s="29" t="inlineStr">
        <is>
          <t>Asan Adient Prototype Room</t>
        </is>
      </c>
      <c r="T10" s="29" t="inlineStr">
        <is>
          <t>AOCE</t>
        </is>
      </c>
      <c r="U10" s="29" t="inlineStr">
        <is>
          <t>NVH Korea</t>
        </is>
      </c>
      <c r="V10" s="29" t="inlineStr">
        <is>
          <t>ZF LIFETEC</t>
        </is>
      </c>
      <c r="W10" s="29" t="inlineStr">
        <is>
          <t>Gyeongju Daehan Packaging</t>
        </is>
      </c>
      <c r="X10" s="29" t="inlineStr">
        <is>
          <t>Nara M&amp;D</t>
        </is>
      </c>
      <c r="Y10" s="29" t="inlineStr">
        <is>
          <t>Daedong Mobel</t>
        </is>
      </c>
      <c r="Z10" s="29" t="inlineStr">
        <is>
          <t>Dong-A Hwaseong</t>
        </is>
      </c>
      <c r="AA10" s="29" t="inlineStr">
        <is>
          <t>Duol Asan Plant</t>
        </is>
      </c>
      <c r="AB10" s="29" t="inlineStr">
        <is>
          <t>Duol Ulsan Plant</t>
        </is>
      </c>
      <c r="AC10" s="29" t="inlineStr">
        <is>
          <t>Mobis Mabuk R&amp;D Center</t>
        </is>
      </c>
      <c r="AD10" s="29" t="inlineStr">
        <is>
          <t>Mobis Seosan Proving Ground</t>
        </is>
      </c>
      <c r="AE10" s="29" t="inlineStr">
        <is>
          <t>Mobis Uiwang R&amp;D Center</t>
        </is>
      </c>
      <c r="AF10" s="29" t="inlineStr">
        <is>
          <t>Samwon Mould Precision</t>
        </is>
      </c>
      <c r="AG10" s="29" t="inlineStr">
        <is>
          <t>Seoyeon CNF</t>
        </is>
      </c>
      <c r="AH10" s="29" t="inlineStr">
        <is>
          <t>Seoyeon Ihwa Asan Plant</t>
        </is>
      </c>
      <c r="AI10" s="29" t="inlineStr">
        <is>
          <t>Seoyeon Industries</t>
        </is>
      </c>
      <c r="AJ10" s="29" t="inlineStr">
        <is>
          <t>Seoyeon Top Metal</t>
        </is>
      </c>
      <c r="AK10" s="29" t="inlineStr">
        <is>
          <t>Smart DNS</t>
        </is>
      </c>
      <c r="AL10" s="29" t="inlineStr">
        <is>
          <t>Shinsung FA</t>
        </is>
      </c>
      <c r="AM10" s="29" t="inlineStr">
        <is>
          <t>Shinchang FA</t>
        </is>
      </c>
      <c r="AN10" s="29" t="inlineStr">
        <is>
          <t>Atech Solution</t>
        </is>
      </c>
      <c r="AO10" s="29" t="inlineStr">
        <is>
          <t>Ian Enterprise</t>
        </is>
      </c>
      <c r="AP10" s="29" t="inlineStr">
        <is>
          <t>Zayd</t>
        </is>
      </c>
      <c r="AQ10" s="29" t="inlineStr">
        <is>
          <t>Taewung Tech</t>
        </is>
      </c>
      <c r="AR10" s="29" t="inlineStr">
        <is>
          <t>Praco</t>
        </is>
      </c>
      <c r="AS10" s="29" t="inlineStr">
        <is>
          <t>Korea Mold</t>
        </is>
      </c>
      <c r="AT10" s="29" t="inlineStr">
        <is>
          <t>Hanon Systems</t>
        </is>
      </c>
      <c r="AU10" s="29" t="inlineStr">
        <is>
          <t>Hanwha Advanced Materials Sejong Plant</t>
        </is>
      </c>
      <c r="AV10" s="29" t="inlineStr">
        <is>
          <t>Hyeonjin Globaltech</t>
        </is>
      </c>
      <c r="AW10" s="29" t="inlineStr">
        <is>
          <t>Hwaseong UMS</t>
        </is>
      </c>
      <c r="AX10" s="29" t="inlineStr">
        <is>
          <t>Daehan Packaging</t>
        </is>
      </c>
      <c r="AY10" s="29" t="inlineStr">
        <is>
          <t>Daeyu Atech (Asan)</t>
        </is>
      </c>
      <c r="AZ10" s="29" t="inlineStr">
        <is>
          <t>Dongwon Metal</t>
        </is>
      </c>
      <c r="BA10" s="29" t="inlineStr">
        <is>
          <t>DSC Logistics Center</t>
        </is>
      </c>
      <c r="BB10" s="29" t="inlineStr">
        <is>
          <t>DSC Asan</t>
        </is>
      </c>
      <c r="BC10" s="29" t="inlineStr">
        <is>
          <t>Okcheon Industry</t>
        </is>
      </c>
      <c r="BD10" s="29" t="inlineStr">
        <is>
          <t>MINDA</t>
        </is>
      </c>
      <c r="BE10" s="29" t="inlineStr">
        <is>
          <t>DSC (India Plant 4)</t>
        </is>
      </c>
      <c r="BF10" s="29" t="inlineStr">
        <is>
          <t>DSC (India Plant 1)</t>
        </is>
      </c>
      <c r="BG10" s="29" t="inlineStr">
        <is>
          <t>SPACK</t>
        </is>
      </c>
      <c r="BH10" s="29" t="inlineStr">
        <is>
          <t>Crown Tech</t>
        </is>
      </c>
      <c r="BI10" s="29" t="inlineStr">
        <is>
          <t>Jeongun</t>
        </is>
      </c>
      <c r="BJ10" s="29" t="inlineStr">
        <is>
          <t>DSC (India Plant 2)</t>
        </is>
      </c>
      <c r="BK10" s="29" t="inlineStr">
        <is>
          <t>SK1</t>
        </is>
      </c>
      <c r="BL10" s="29" t="inlineStr">
        <is>
          <t>CZ DSC</t>
        </is>
      </c>
      <c r="BM10" s="29" t="inlineStr">
        <is>
          <t>CZ KMJ</t>
        </is>
      </c>
      <c r="BN10" s="29" t="inlineStr">
        <is>
          <t>SEJIN</t>
        </is>
      </c>
      <c r="BO10" s="29" t="inlineStr">
        <is>
          <t>AAA</t>
        </is>
      </c>
      <c r="BP10" s="29" t="n"/>
      <c r="BQ10" s="59" t="inlineStr">
        <is>
          <t>Emissions
(kgCO2eq)</t>
        </is>
      </c>
      <c r="BR10" s="58" t="inlineStr">
        <is>
          <t>Emissions
(tCO2eq)</t>
        </is>
      </c>
    </row>
    <row r="11" ht="17" customHeight="1" s="165">
      <c r="A11" s="16" t="inlineStr">
        <is>
          <t>ex)</t>
        </is>
      </c>
      <c r="B11" s="16" t="inlineStr">
        <is>
          <t>Transport Mode</t>
        </is>
      </c>
      <c r="C11" s="190" t="inlineStr">
        <is>
          <t>Rail</t>
        </is>
      </c>
      <c r="D11" s="190" t="inlineStr">
        <is>
          <t>Truck</t>
        </is>
      </c>
      <c r="E11" s="190" t="inlineStr">
        <is>
          <t>Truck</t>
        </is>
      </c>
      <c r="F11" s="190" t="inlineStr">
        <is>
          <t>Air</t>
        </is>
      </c>
      <c r="G11" s="190" t="inlineStr">
        <is>
          <t>Truck</t>
        </is>
      </c>
      <c r="H11" s="190" t="inlineStr">
        <is>
          <t>Truck</t>
        </is>
      </c>
      <c r="I11" s="190" t="inlineStr">
        <is>
          <t>Truck</t>
        </is>
      </c>
      <c r="J11" s="190" t="inlineStr">
        <is>
          <t>Truck</t>
        </is>
      </c>
      <c r="K11" s="190" t="inlineStr">
        <is>
          <t>Truck</t>
        </is>
      </c>
      <c r="L11" s="190" t="inlineStr">
        <is>
          <t>Ocean Vessel</t>
        </is>
      </c>
      <c r="M11" s="190" t="inlineStr">
        <is>
          <t>Truck</t>
        </is>
      </c>
      <c r="N11" s="190" t="inlineStr">
        <is>
          <t>Truck</t>
        </is>
      </c>
      <c r="O11" s="190" t="inlineStr">
        <is>
          <t>Truck</t>
        </is>
      </c>
      <c r="P11" s="190" t="inlineStr">
        <is>
          <t>Truck</t>
        </is>
      </c>
      <c r="Q11" s="190" t="inlineStr">
        <is>
          <t>Truck</t>
        </is>
      </c>
      <c r="R11" s="190" t="inlineStr">
        <is>
          <t>Truck</t>
        </is>
      </c>
      <c r="S11" s="190" t="inlineStr">
        <is>
          <t>Truck</t>
        </is>
      </c>
      <c r="T11" s="190" t="inlineStr">
        <is>
          <t>Truck</t>
        </is>
      </c>
      <c r="U11" s="190" t="inlineStr">
        <is>
          <t>Truck</t>
        </is>
      </c>
      <c r="V11" s="190" t="inlineStr">
        <is>
          <t>Truck</t>
        </is>
      </c>
      <c r="W11" s="190" t="inlineStr">
        <is>
          <t>Truck</t>
        </is>
      </c>
      <c r="X11" s="190" t="inlineStr">
        <is>
          <t>Truck</t>
        </is>
      </c>
      <c r="Y11" s="190" t="inlineStr">
        <is>
          <t>Truck</t>
        </is>
      </c>
      <c r="Z11" s="190" t="inlineStr">
        <is>
          <t>Truck</t>
        </is>
      </c>
      <c r="AA11" s="190" t="inlineStr">
        <is>
          <t>Truck</t>
        </is>
      </c>
      <c r="AB11" s="190" t="inlineStr">
        <is>
          <t>Truck</t>
        </is>
      </c>
      <c r="AC11" s="190" t="inlineStr">
        <is>
          <t>Truck</t>
        </is>
      </c>
      <c r="AD11" s="190" t="inlineStr">
        <is>
          <t>Truck</t>
        </is>
      </c>
      <c r="AE11" s="190" t="inlineStr">
        <is>
          <t>Truck</t>
        </is>
      </c>
      <c r="AF11" s="190" t="inlineStr">
        <is>
          <t>Truck</t>
        </is>
      </c>
      <c r="AG11" s="190" t="inlineStr">
        <is>
          <t>Truck</t>
        </is>
      </c>
      <c r="AH11" s="190" t="inlineStr">
        <is>
          <t>Truck</t>
        </is>
      </c>
      <c r="AI11" s="190" t="inlineStr">
        <is>
          <t>Truck</t>
        </is>
      </c>
      <c r="AJ11" s="190" t="inlineStr">
        <is>
          <t>Truck</t>
        </is>
      </c>
      <c r="AK11" s="190" t="inlineStr">
        <is>
          <t>Truck</t>
        </is>
      </c>
      <c r="AL11" s="190" t="inlineStr">
        <is>
          <t>Truck</t>
        </is>
      </c>
      <c r="AM11" s="190" t="inlineStr">
        <is>
          <t>Truck</t>
        </is>
      </c>
      <c r="AN11" s="190" t="inlineStr">
        <is>
          <t>Truck</t>
        </is>
      </c>
      <c r="AO11" s="190" t="inlineStr">
        <is>
          <t>Truck</t>
        </is>
      </c>
      <c r="AP11" s="190" t="inlineStr">
        <is>
          <t>Truck</t>
        </is>
      </c>
      <c r="AQ11" s="190" t="inlineStr">
        <is>
          <t>Truck</t>
        </is>
      </c>
      <c r="AR11" s="190" t="inlineStr">
        <is>
          <t>Truck</t>
        </is>
      </c>
      <c r="AS11" s="190" t="inlineStr">
        <is>
          <t>Truck</t>
        </is>
      </c>
      <c r="AT11" s="190" t="inlineStr">
        <is>
          <t>Truck</t>
        </is>
      </c>
      <c r="AU11" s="190" t="inlineStr">
        <is>
          <t>Truck</t>
        </is>
      </c>
      <c r="AV11" s="190" t="inlineStr">
        <is>
          <t>Truck</t>
        </is>
      </c>
      <c r="AW11" s="190" t="inlineStr">
        <is>
          <t>Truck</t>
        </is>
      </c>
      <c r="AX11" s="190" t="inlineStr">
        <is>
          <t>Truck</t>
        </is>
      </c>
      <c r="AY11" s="190" t="inlineStr">
        <is>
          <t>Truck</t>
        </is>
      </c>
      <c r="AZ11" s="190" t="inlineStr">
        <is>
          <t>Truck</t>
        </is>
      </c>
      <c r="BA11" s="190" t="inlineStr">
        <is>
          <t>Truck</t>
        </is>
      </c>
      <c r="BB11" s="190" t="inlineStr">
        <is>
          <t>Truck</t>
        </is>
      </c>
      <c r="BC11" s="190" t="inlineStr">
        <is>
          <t>Truck</t>
        </is>
      </c>
      <c r="BD11" s="190" t="inlineStr">
        <is>
          <t>Truck</t>
        </is>
      </c>
      <c r="BE11" s="190" t="inlineStr">
        <is>
          <t>Truck</t>
        </is>
      </c>
      <c r="BF11" s="190" t="inlineStr">
        <is>
          <t>Truck</t>
        </is>
      </c>
      <c r="BG11" s="190" t="inlineStr">
        <is>
          <t>Truck</t>
        </is>
      </c>
      <c r="BH11" s="190" t="inlineStr">
        <is>
          <t>Truck</t>
        </is>
      </c>
      <c r="BI11" s="190" t="inlineStr">
        <is>
          <t>Truck</t>
        </is>
      </c>
      <c r="BJ11" s="190" t="inlineStr">
        <is>
          <t>Truck</t>
        </is>
      </c>
      <c r="BK11" s="190" t="inlineStr">
        <is>
          <t>Truck</t>
        </is>
      </c>
      <c r="BL11" s="190" t="inlineStr">
        <is>
          <t>Truck</t>
        </is>
      </c>
      <c r="BM11" s="190" t="inlineStr">
        <is>
          <t>Truck</t>
        </is>
      </c>
      <c r="BN11" s="190" t="inlineStr">
        <is>
          <t>Truck</t>
        </is>
      </c>
      <c r="BO11" s="190" t="inlineStr">
        <is>
          <t>Truck</t>
        </is>
      </c>
      <c r="BP11" s="190" t="inlineStr">
        <is>
          <t>Truck</t>
        </is>
      </c>
      <c r="BQ11" s="190" t="inlineStr">
        <is>
          <t>Truck</t>
        </is>
      </c>
      <c r="BR11" s="23" t="n"/>
    </row>
    <row r="12" ht="17" customHeight="1" s="165">
      <c r="A12" s="210" t="n"/>
      <c r="B12" s="16" t="inlineStr">
        <is>
          <t>Emission Factor (Auto)</t>
        </is>
      </c>
      <c r="C12" s="211">
        <f>VLOOKUP(C11,$Q$3:$R$6,2,0)</f>
        <v/>
      </c>
      <c r="D12" s="211">
        <f>VLOOKUP(D11,$Q$3:$R$6,2,0)</f>
        <v/>
      </c>
      <c r="E12" s="211">
        <f>VLOOKUP(E11,$Q$3:$R$6,2,0)</f>
        <v/>
      </c>
      <c r="F12" s="211">
        <f>VLOOKUP(F11,$Q$3:$R$6,2,0)</f>
        <v/>
      </c>
      <c r="G12" s="211">
        <f>VLOOKUP(G11,$Q$3:$R$6,2,0)</f>
        <v/>
      </c>
      <c r="H12" s="211">
        <f>VLOOKUP(H11,$Q$3:$R$6,2,0)</f>
        <v/>
      </c>
      <c r="I12" s="211">
        <f>VLOOKUP(I11,$Q$3:$R$6,2,0)</f>
        <v/>
      </c>
      <c r="J12" s="211">
        <f>VLOOKUP(J11,$Q$3:$R$6,2,0)</f>
        <v/>
      </c>
      <c r="K12" s="211">
        <f>VLOOKUP(K11,$Q$3:$R$6,2,0)</f>
        <v/>
      </c>
      <c r="L12" s="211">
        <f>VLOOKUP(L11,$Q$3:$R$6,2,0)</f>
        <v/>
      </c>
      <c r="M12" s="211">
        <f>VLOOKUP(M11,$Q$3:$R$6,2,0)</f>
        <v/>
      </c>
      <c r="N12" s="211">
        <f>VLOOKUP(N11,$Q$3:$R$6,2,0)</f>
        <v/>
      </c>
      <c r="O12" s="211">
        <f>VLOOKUP(O11,$Q$3:$R$6,2,0)</f>
        <v/>
      </c>
      <c r="P12" s="211">
        <f>VLOOKUP(P11,$Q$3:$R$6,2,0)</f>
        <v/>
      </c>
      <c r="Q12" s="211">
        <f>VLOOKUP(Q11,$Q$3:$R$6,2,0)</f>
        <v/>
      </c>
      <c r="R12" s="211">
        <f>VLOOKUP(R11,$Q$3:$R$6,2,0)</f>
        <v/>
      </c>
      <c r="S12" s="211">
        <f>VLOOKUP(S11,$Q$3:$R$6,2,0)</f>
        <v/>
      </c>
      <c r="T12" s="211">
        <f>VLOOKUP(T11,$Q$3:$R$6,2,0)</f>
        <v/>
      </c>
      <c r="U12" s="211">
        <f>VLOOKUP(U11,$Q$3:$R$6,2,0)</f>
        <v/>
      </c>
      <c r="V12" s="211">
        <f>VLOOKUP(V11,$Q$3:$R$6,2,0)</f>
        <v/>
      </c>
      <c r="W12" s="211">
        <f>VLOOKUP(W11,$Q$3:$R$6,2,0)</f>
        <v/>
      </c>
      <c r="X12" s="211">
        <f>VLOOKUP(X11,$Q$3:$R$6,2,0)</f>
        <v/>
      </c>
      <c r="Y12" s="211">
        <f>VLOOKUP(Y11,$Q$3:$R$6,2,0)</f>
        <v/>
      </c>
      <c r="Z12" s="211">
        <f>VLOOKUP(Z11,$Q$3:$R$6,2,0)</f>
        <v/>
      </c>
      <c r="AA12" s="211">
        <f>VLOOKUP(AA11,$Q$3:$R$6,2,0)</f>
        <v/>
      </c>
      <c r="AB12" s="211">
        <f>VLOOKUP(AB11,$Q$3:$R$6,2,0)</f>
        <v/>
      </c>
      <c r="AC12" s="211">
        <f>VLOOKUP(AC11,$Q$3:$R$6,2,0)</f>
        <v/>
      </c>
      <c r="AD12" s="211">
        <f>VLOOKUP(AD11,$Q$3:$R$6,2,0)</f>
        <v/>
      </c>
      <c r="AE12" s="211">
        <f>VLOOKUP(AE11,$Q$3:$R$6,2,0)</f>
        <v/>
      </c>
      <c r="AF12" s="211">
        <f>VLOOKUP(AF11,$Q$3:$R$6,2,0)</f>
        <v/>
      </c>
      <c r="AG12" s="211">
        <f>VLOOKUP(AG11,$Q$3:$R$6,2,0)</f>
        <v/>
      </c>
      <c r="AH12" s="211">
        <f>VLOOKUP(AH11,$Q$3:$R$6,2,0)</f>
        <v/>
      </c>
      <c r="AI12" s="211">
        <f>VLOOKUP(AI11,$Q$3:$R$6,2,0)</f>
        <v/>
      </c>
      <c r="AJ12" s="211">
        <f>VLOOKUP(AJ11,$Q$3:$R$6,2,0)</f>
        <v/>
      </c>
      <c r="AK12" s="211">
        <f>VLOOKUP(AK11,$Q$3:$R$6,2,0)</f>
        <v/>
      </c>
      <c r="AL12" s="211">
        <f>VLOOKUP(AL11,$Q$3:$R$6,2,0)</f>
        <v/>
      </c>
      <c r="AM12" s="211">
        <f>VLOOKUP(AM11,$Q$3:$R$6,2,0)</f>
        <v/>
      </c>
      <c r="AN12" s="211">
        <f>VLOOKUP(AN11,$Q$3:$R$6,2,0)</f>
        <v/>
      </c>
      <c r="AO12" s="211">
        <f>VLOOKUP(AO11,$Q$3:$R$6,2,0)</f>
        <v/>
      </c>
      <c r="AP12" s="211">
        <f>VLOOKUP(AP11,$Q$3:$R$6,2,0)</f>
        <v/>
      </c>
      <c r="AQ12" s="211">
        <f>VLOOKUP(AQ11,$Q$3:$R$6,2,0)</f>
        <v/>
      </c>
      <c r="AR12" s="211">
        <f>VLOOKUP(AR11,$Q$3:$R$6,2,0)</f>
        <v/>
      </c>
      <c r="AS12" s="211">
        <f>VLOOKUP(AS11,$Q$3:$R$6,2,0)</f>
        <v/>
      </c>
      <c r="AT12" s="211">
        <f>VLOOKUP(AT11,$Q$3:$R$6,2,0)</f>
        <v/>
      </c>
      <c r="AU12" s="211">
        <f>VLOOKUP(AU11,$Q$3:$R$6,2,0)</f>
        <v/>
      </c>
      <c r="AV12" s="211">
        <f>VLOOKUP(AV11,$Q$3:$R$6,2,0)</f>
        <v/>
      </c>
      <c r="AW12" s="211">
        <f>VLOOKUP(AW11,$Q$3:$R$6,2,0)</f>
        <v/>
      </c>
      <c r="AX12" s="211">
        <f>VLOOKUP(AX11,$Q$3:$R$6,2,0)</f>
        <v/>
      </c>
      <c r="AY12" s="211">
        <f>VLOOKUP(AY11,$Q$3:$R$6,2,0)</f>
        <v/>
      </c>
      <c r="AZ12" s="211">
        <f>VLOOKUP(AZ11,$Q$3:$R$6,2,0)</f>
        <v/>
      </c>
      <c r="BA12" s="211">
        <f>VLOOKUP(BA11,$Q$3:$R$6,2,0)</f>
        <v/>
      </c>
      <c r="BB12" s="211">
        <f>VLOOKUP(BB11,$Q$3:$R$6,2,0)</f>
        <v/>
      </c>
      <c r="BC12" s="211">
        <f>VLOOKUP(BC11,$Q$3:$R$6,2,0)</f>
        <v/>
      </c>
      <c r="BD12" s="211">
        <f>VLOOKUP(BD11,$Q$3:$R$6,2,0)</f>
        <v/>
      </c>
      <c r="BE12" s="211">
        <f>VLOOKUP(BE11,$Q$3:$R$6,2,0)</f>
        <v/>
      </c>
      <c r="BF12" s="211">
        <f>VLOOKUP(BF11,$Q$3:$R$6,2,0)</f>
        <v/>
      </c>
      <c r="BG12" s="211">
        <f>VLOOKUP(BG11,$Q$3:$R$6,2,0)</f>
        <v/>
      </c>
      <c r="BH12" s="211">
        <f>VLOOKUP(BH11,$Q$3:$R$6,2,0)</f>
        <v/>
      </c>
      <c r="BI12" s="211">
        <f>VLOOKUP(BI11,$Q$3:$R$6,2,0)</f>
        <v/>
      </c>
      <c r="BJ12" s="211">
        <f>VLOOKUP(BJ11,$Q$3:$R$6,2,0)</f>
        <v/>
      </c>
      <c r="BK12" s="211">
        <f>VLOOKUP(BK11,$Q$3:$R$6,2,0)</f>
        <v/>
      </c>
      <c r="BL12" s="211">
        <f>VLOOKUP(BL11,$Q$3:$R$6,2,0)</f>
        <v/>
      </c>
      <c r="BM12" s="211">
        <f>VLOOKUP(BM11,$Q$3:$R$6,2,0)</f>
        <v/>
      </c>
      <c r="BN12" s="211">
        <f>VLOOKUP(BN11,$Q$3:$R$6,2,0)</f>
        <v/>
      </c>
      <c r="BO12" s="211">
        <f>VLOOKUP(BO11,$Q$3:$R$6,2,0)</f>
        <v/>
      </c>
      <c r="BP12" s="211">
        <f>VLOOKUP(BP11,$Q$3:$R$6,2,0)</f>
        <v/>
      </c>
      <c r="BQ12" s="212" t="n"/>
      <c r="BR12" s="23" t="n"/>
    </row>
    <row r="13" ht="17" customHeight="1" s="165">
      <c r="A13" s="210" t="n"/>
      <c r="B13" s="16" t="inlineStr">
        <is>
          <t>Annual Travel Distance (km)</t>
        </is>
      </c>
      <c r="C13" s="193" t="n">
        <v>2000</v>
      </c>
      <c r="D13" s="193" t="n">
        <v>3000</v>
      </c>
      <c r="E13" s="193" t="n">
        <v>1000</v>
      </c>
      <c r="F13" s="193" t="n">
        <v>3000</v>
      </c>
      <c r="G13" s="193" t="n">
        <v>3000</v>
      </c>
      <c r="H13" s="193" t="n">
        <v>3000</v>
      </c>
      <c r="I13" s="193" t="n">
        <v>1000</v>
      </c>
      <c r="J13" s="193" t="n">
        <v>1000</v>
      </c>
      <c r="K13" s="193" t="n">
        <v>500</v>
      </c>
      <c r="L13" s="193" t="n">
        <v>500</v>
      </c>
      <c r="M13" s="193" t="n">
        <v>500</v>
      </c>
      <c r="N13" s="193" t="n">
        <v>2500</v>
      </c>
      <c r="O13" s="193" t="n">
        <v>500</v>
      </c>
      <c r="P13" s="193" t="n">
        <v>3500</v>
      </c>
      <c r="Q13" s="193" t="n">
        <v>3500</v>
      </c>
      <c r="R13" s="193" t="n"/>
      <c r="S13" s="193" t="n"/>
      <c r="T13" s="193" t="n"/>
      <c r="U13" s="193" t="n"/>
      <c r="V13" s="193" t="n"/>
      <c r="W13" s="193" t="n"/>
      <c r="X13" s="193" t="n"/>
      <c r="Y13" s="193" t="n"/>
      <c r="Z13" s="193" t="n"/>
      <c r="AA13" s="193" t="n"/>
      <c r="AB13" s="193" t="n"/>
      <c r="AC13" s="193" t="n"/>
      <c r="AD13" s="193" t="n"/>
      <c r="AE13" s="193" t="n"/>
      <c r="AF13" s="193" t="n"/>
      <c r="AG13" s="193" t="n"/>
      <c r="AH13" s="193" t="n"/>
      <c r="AI13" s="193" t="n"/>
      <c r="AJ13" s="193" t="n"/>
      <c r="AK13" s="193" t="n"/>
      <c r="AL13" s="193" t="n"/>
      <c r="AM13" s="193" t="n"/>
      <c r="AN13" s="193" t="n"/>
      <c r="AO13" s="193" t="n"/>
      <c r="AP13" s="193" t="n"/>
      <c r="AQ13" s="193" t="n"/>
      <c r="AR13" s="193" t="n"/>
      <c r="AS13" s="193" t="n"/>
      <c r="AT13" s="193" t="n"/>
      <c r="AU13" s="193" t="n"/>
      <c r="AV13" s="193" t="n"/>
      <c r="AW13" s="193" t="n"/>
      <c r="AX13" s="193" t="n"/>
      <c r="AY13" s="193" t="n"/>
      <c r="AZ13" s="193" t="n"/>
      <c r="BA13" s="193" t="n"/>
      <c r="BB13" s="193" t="n"/>
      <c r="BC13" s="193" t="n"/>
      <c r="BD13" s="193" t="n"/>
      <c r="BE13" s="193" t="n"/>
      <c r="BF13" s="193" t="n"/>
      <c r="BG13" s="193" t="n"/>
      <c r="BH13" s="193" t="n"/>
      <c r="BI13" s="193" t="n"/>
      <c r="BJ13" s="193" t="n"/>
      <c r="BK13" s="193" t="n"/>
      <c r="BL13" s="193" t="n"/>
      <c r="BM13" s="193" t="n"/>
      <c r="BN13" s="193" t="n"/>
      <c r="BO13" s="193" t="n"/>
      <c r="BP13" s="193" t="n"/>
      <c r="BQ13" s="194" t="n"/>
      <c r="BR13" s="195" t="n"/>
    </row>
    <row r="14" ht="17" customHeight="1" s="165">
      <c r="A14" s="192" t="n"/>
      <c r="B14" s="16" t="inlineStr">
        <is>
          <t>Total Sold Weight (kg)</t>
        </is>
      </c>
      <c r="C14" s="193" t="n">
        <v>500</v>
      </c>
      <c r="D14" s="193" t="n">
        <v>300</v>
      </c>
      <c r="E14" s="193" t="n">
        <v>200</v>
      </c>
      <c r="F14" s="193" t="n">
        <v>200</v>
      </c>
      <c r="G14" s="193" t="n">
        <v>150</v>
      </c>
      <c r="H14" s="193" t="n">
        <v>50</v>
      </c>
      <c r="I14" s="193" t="n">
        <v>50</v>
      </c>
      <c r="J14" s="193" t="n">
        <v>60</v>
      </c>
      <c r="K14" s="193" t="n">
        <v>10</v>
      </c>
      <c r="L14" s="193" t="n">
        <v>10</v>
      </c>
      <c r="M14" s="193" t="n">
        <v>5</v>
      </c>
      <c r="N14" s="193" t="n">
        <v>50</v>
      </c>
      <c r="O14" s="193" t="n">
        <v>5</v>
      </c>
      <c r="P14" s="193" t="n">
        <v>150</v>
      </c>
      <c r="Q14" s="193" t="n">
        <v>50</v>
      </c>
      <c r="R14" s="193" t="n"/>
      <c r="S14" s="193" t="n"/>
      <c r="T14" s="193" t="n"/>
      <c r="U14" s="193" t="n"/>
      <c r="V14" s="193" t="n"/>
      <c r="W14" s="193" t="n"/>
      <c r="X14" s="193" t="n"/>
      <c r="Y14" s="193" t="n"/>
      <c r="Z14" s="193" t="n"/>
      <c r="AA14" s="193" t="n"/>
      <c r="AB14" s="193" t="n"/>
      <c r="AC14" s="193" t="n"/>
      <c r="AD14" s="193" t="n"/>
      <c r="AE14" s="193" t="n"/>
      <c r="AF14" s="193" t="n"/>
      <c r="AG14" s="193" t="n"/>
      <c r="AH14" s="193" t="n"/>
      <c r="AI14" s="193" t="n"/>
      <c r="AJ14" s="193" t="n"/>
      <c r="AK14" s="193" t="n"/>
      <c r="AL14" s="193" t="n"/>
      <c r="AM14" s="193" t="n"/>
      <c r="AN14" s="193" t="n"/>
      <c r="AO14" s="193" t="n"/>
      <c r="AP14" s="193" t="n"/>
      <c r="AQ14" s="193" t="n"/>
      <c r="AR14" s="193" t="n"/>
      <c r="AS14" s="193" t="n"/>
      <c r="AT14" s="193" t="n"/>
      <c r="AU14" s="193" t="n"/>
      <c r="AV14" s="193" t="n"/>
      <c r="AW14" s="193" t="n"/>
      <c r="AX14" s="193" t="n"/>
      <c r="AY14" s="193" t="n"/>
      <c r="AZ14" s="193" t="n"/>
      <c r="BA14" s="193" t="n"/>
      <c r="BB14" s="193" t="n"/>
      <c r="BC14" s="193" t="n"/>
      <c r="BD14" s="193" t="n"/>
      <c r="BE14" s="193" t="n"/>
      <c r="BF14" s="193" t="n"/>
      <c r="BG14" s="193" t="n"/>
      <c r="BH14" s="193" t="n"/>
      <c r="BI14" s="193" t="n"/>
      <c r="BJ14" s="193" t="n"/>
      <c r="BK14" s="193" t="n"/>
      <c r="BL14" s="193" t="n"/>
      <c r="BM14" s="193" t="n"/>
      <c r="BN14" s="193" t="n"/>
      <c r="BO14" s="193" t="n"/>
      <c r="BP14" s="193" t="n"/>
      <c r="BQ14" s="194">
        <f t="array" ref="BQ14">SUMPRODUCT(C12:BP12,C13:BP13,C14:BP14/1000)</f>
        <v/>
      </c>
      <c r="BR14" s="195">
        <f>BQ14/1000</f>
        <v/>
      </c>
    </row>
    <row r="15" ht="18.5" customHeight="1" s="165">
      <c r="A15" s="152" t="inlineStr">
        <is>
          <t>Dongtan</t>
        </is>
      </c>
      <c r="B15" s="56" t="inlineStr">
        <is>
          <t>Transport Mode</t>
        </is>
      </c>
      <c r="C15" s="213" t="inlineStr">
        <is>
          <t>Truck</t>
        </is>
      </c>
      <c r="D15" s="213" t="inlineStr">
        <is>
          <t>Truck</t>
        </is>
      </c>
      <c r="E15" s="213" t="inlineStr">
        <is>
          <t>Truck</t>
        </is>
      </c>
      <c r="F15" s="213" t="inlineStr">
        <is>
          <t>Truck</t>
        </is>
      </c>
      <c r="G15" s="213" t="inlineStr">
        <is>
          <t>Truck</t>
        </is>
      </c>
      <c r="H15" s="213" t="inlineStr">
        <is>
          <t>Truck</t>
        </is>
      </c>
      <c r="I15" s="213" t="inlineStr">
        <is>
          <t>Truck</t>
        </is>
      </c>
      <c r="J15" s="213" t="inlineStr">
        <is>
          <t>Truck</t>
        </is>
      </c>
      <c r="K15" s="213" t="inlineStr">
        <is>
          <t>Truck</t>
        </is>
      </c>
      <c r="L15" s="213" t="inlineStr">
        <is>
          <t>Truck</t>
        </is>
      </c>
      <c r="M15" s="213" t="inlineStr">
        <is>
          <t>Truck</t>
        </is>
      </c>
      <c r="N15" s="213" t="inlineStr">
        <is>
          <t>Truck</t>
        </is>
      </c>
      <c r="O15" s="213" t="inlineStr">
        <is>
          <t>Truck</t>
        </is>
      </c>
      <c r="P15" s="213" t="inlineStr">
        <is>
          <t>Truck</t>
        </is>
      </c>
      <c r="Q15" s="213" t="inlineStr">
        <is>
          <t>Truck</t>
        </is>
      </c>
      <c r="R15" s="213" t="inlineStr">
        <is>
          <t>Truck</t>
        </is>
      </c>
      <c r="S15" s="213" t="inlineStr">
        <is>
          <t>Truck</t>
        </is>
      </c>
      <c r="T15" s="213" t="inlineStr">
        <is>
          <t>Truck</t>
        </is>
      </c>
      <c r="U15" s="213" t="inlineStr">
        <is>
          <t>Truck</t>
        </is>
      </c>
      <c r="V15" s="213" t="inlineStr">
        <is>
          <t>Truck</t>
        </is>
      </c>
      <c r="W15" s="213" t="inlineStr">
        <is>
          <t>Truck</t>
        </is>
      </c>
      <c r="X15" s="213" t="inlineStr">
        <is>
          <t>Truck</t>
        </is>
      </c>
      <c r="Y15" s="213" t="inlineStr">
        <is>
          <t>Truck</t>
        </is>
      </c>
      <c r="Z15" s="213" t="inlineStr">
        <is>
          <t>Truck</t>
        </is>
      </c>
      <c r="AA15" s="213" t="inlineStr">
        <is>
          <t>Truck</t>
        </is>
      </c>
      <c r="AB15" s="213" t="inlineStr">
        <is>
          <t>Truck</t>
        </is>
      </c>
      <c r="AC15" s="213" t="inlineStr">
        <is>
          <t>Truck</t>
        </is>
      </c>
      <c r="AD15" s="213" t="inlineStr">
        <is>
          <t>Truck</t>
        </is>
      </c>
      <c r="AE15" s="213" t="inlineStr">
        <is>
          <t>Truck</t>
        </is>
      </c>
      <c r="AF15" s="213" t="inlineStr">
        <is>
          <t>Truck</t>
        </is>
      </c>
      <c r="AG15" s="213" t="inlineStr">
        <is>
          <t>Truck</t>
        </is>
      </c>
      <c r="AH15" s="213" t="inlineStr">
        <is>
          <t>Truck</t>
        </is>
      </c>
      <c r="AI15" s="213" t="inlineStr">
        <is>
          <t>Truck</t>
        </is>
      </c>
      <c r="AJ15" s="213" t="inlineStr">
        <is>
          <t>Truck</t>
        </is>
      </c>
      <c r="AK15" s="213" t="inlineStr">
        <is>
          <t>Truck</t>
        </is>
      </c>
      <c r="AL15" s="213" t="inlineStr">
        <is>
          <t>Truck</t>
        </is>
      </c>
      <c r="AM15" s="213" t="inlineStr">
        <is>
          <t>Truck</t>
        </is>
      </c>
      <c r="AN15" s="213" t="inlineStr">
        <is>
          <t>Truck</t>
        </is>
      </c>
      <c r="AO15" s="213" t="inlineStr">
        <is>
          <t>Truck</t>
        </is>
      </c>
      <c r="AP15" s="213" t="inlineStr">
        <is>
          <t>Truck</t>
        </is>
      </c>
      <c r="AQ15" s="213" t="inlineStr">
        <is>
          <t>Truck</t>
        </is>
      </c>
      <c r="AR15" s="213" t="inlineStr">
        <is>
          <t>Truck</t>
        </is>
      </c>
      <c r="AS15" s="213" t="inlineStr">
        <is>
          <t>Truck</t>
        </is>
      </c>
      <c r="AT15" s="213" t="inlineStr">
        <is>
          <t>Truck</t>
        </is>
      </c>
      <c r="AU15" s="213" t="inlineStr">
        <is>
          <t>Truck</t>
        </is>
      </c>
      <c r="AV15" s="213" t="inlineStr">
        <is>
          <t>Truck</t>
        </is>
      </c>
      <c r="AW15" s="213" t="inlineStr">
        <is>
          <t>Truck</t>
        </is>
      </c>
      <c r="AX15" s="213" t="inlineStr">
        <is>
          <t>Truck</t>
        </is>
      </c>
      <c r="AY15" s="213" t="inlineStr">
        <is>
          <t>Truck</t>
        </is>
      </c>
      <c r="AZ15" s="213" t="inlineStr">
        <is>
          <t>Truck</t>
        </is>
      </c>
      <c r="BA15" s="213" t="inlineStr">
        <is>
          <t>Truck</t>
        </is>
      </c>
      <c r="BB15" s="213" t="inlineStr">
        <is>
          <t>Truck</t>
        </is>
      </c>
      <c r="BC15" s="213" t="inlineStr">
        <is>
          <t>Truck</t>
        </is>
      </c>
      <c r="BD15" s="213" t="inlineStr">
        <is>
          <t>Truck</t>
        </is>
      </c>
      <c r="BE15" s="213" t="inlineStr">
        <is>
          <t>Truck</t>
        </is>
      </c>
      <c r="BF15" s="213" t="inlineStr">
        <is>
          <t>Truck</t>
        </is>
      </c>
      <c r="BG15" s="213" t="inlineStr">
        <is>
          <t>Truck</t>
        </is>
      </c>
      <c r="BH15" s="213" t="inlineStr">
        <is>
          <t>Truck</t>
        </is>
      </c>
      <c r="BI15" s="213" t="inlineStr">
        <is>
          <t>Truck</t>
        </is>
      </c>
      <c r="BJ15" s="213" t="inlineStr">
        <is>
          <t>Truck</t>
        </is>
      </c>
      <c r="BK15" s="213" t="inlineStr">
        <is>
          <t>Truck</t>
        </is>
      </c>
      <c r="BL15" s="213" t="inlineStr">
        <is>
          <t>Truck</t>
        </is>
      </c>
      <c r="BM15" s="213" t="inlineStr">
        <is>
          <t>Truck</t>
        </is>
      </c>
      <c r="BN15" s="213" t="inlineStr">
        <is>
          <t>Truck</t>
        </is>
      </c>
      <c r="BO15" s="213" t="inlineStr">
        <is>
          <t>Truck</t>
        </is>
      </c>
      <c r="BP15" s="213" t="inlineStr">
        <is>
          <t>Truck</t>
        </is>
      </c>
      <c r="BQ15" s="70" t="n"/>
      <c r="BR15" s="67" t="n"/>
    </row>
    <row r="16" ht="17" customHeight="1" s="165">
      <c r="A16" s="210" t="n"/>
      <c r="B16" s="152" t="inlineStr">
        <is>
          <t>Emission Factor (Auto)</t>
        </is>
      </c>
      <c r="C16" s="216">
        <f>VLOOKUP(C15,$Q$3:$R$6,2,0)</f>
        <v/>
      </c>
      <c r="D16" s="216">
        <f>VLOOKUP(D15,$Q$3:$R$6,2,0)</f>
        <v/>
      </c>
      <c r="E16" s="216">
        <f>VLOOKUP(E15,$Q$3:$R$6,2,0)</f>
        <v/>
      </c>
      <c r="F16" s="216">
        <f>VLOOKUP(F15,$Q$3:$R$6,2,0)</f>
        <v/>
      </c>
      <c r="G16" s="216">
        <f>VLOOKUP(G15,$Q$3:$R$6,2,0)</f>
        <v/>
      </c>
      <c r="H16" s="216">
        <f>VLOOKUP(H15,$Q$3:$R$6,2,0)</f>
        <v/>
      </c>
      <c r="I16" s="216">
        <f>VLOOKUP(I15,$Q$3:$R$6,2,0)</f>
        <v/>
      </c>
      <c r="J16" s="216">
        <f>VLOOKUP(J15,$Q$3:$R$6,2,0)</f>
        <v/>
      </c>
      <c r="K16" s="216">
        <f>VLOOKUP(K15,$Q$3:$R$6,2,0)</f>
        <v/>
      </c>
      <c r="L16" s="216">
        <f>VLOOKUP(L15,$Q$3:$R$6,2,0)</f>
        <v/>
      </c>
      <c r="M16" s="216">
        <f>VLOOKUP(M15,$Q$3:$R$6,2,0)</f>
        <v/>
      </c>
      <c r="N16" s="216">
        <f>VLOOKUP(N15,$Q$3:$R$6,2,0)</f>
        <v/>
      </c>
      <c r="O16" s="216">
        <f>VLOOKUP(O15,$Q$3:$R$6,2,0)</f>
        <v/>
      </c>
      <c r="P16" s="216">
        <f>VLOOKUP(P15,$Q$3:$R$6,2,0)</f>
        <v/>
      </c>
      <c r="Q16" s="216">
        <f>VLOOKUP(Q15,$Q$3:$R$6,2,0)</f>
        <v/>
      </c>
      <c r="R16" s="216">
        <f>VLOOKUP(R15,$Q$3:$R$6,2,0)</f>
        <v/>
      </c>
      <c r="S16" s="216">
        <f>VLOOKUP(S15,$Q$3:$R$6,2,0)</f>
        <v/>
      </c>
      <c r="T16" s="216">
        <f>VLOOKUP(T15,$Q$3:$R$6,2,0)</f>
        <v/>
      </c>
      <c r="U16" s="216">
        <f>VLOOKUP(U15,$Q$3:$R$6,2,0)</f>
        <v/>
      </c>
      <c r="V16" s="216">
        <f>VLOOKUP(V15,$Q$3:$R$6,2,0)</f>
        <v/>
      </c>
      <c r="W16" s="216">
        <f>VLOOKUP(W15,$Q$3:$R$6,2,0)</f>
        <v/>
      </c>
      <c r="X16" s="216">
        <f>VLOOKUP(X15,$Q$3:$R$6,2,0)</f>
        <v/>
      </c>
      <c r="Y16" s="216">
        <f>VLOOKUP(Y15,$Q$3:$R$6,2,0)</f>
        <v/>
      </c>
      <c r="Z16" s="216">
        <f>VLOOKUP(Z15,$Q$3:$R$6,2,0)</f>
        <v/>
      </c>
      <c r="AA16" s="216">
        <f>VLOOKUP(AA15,$Q$3:$R$6,2,0)</f>
        <v/>
      </c>
      <c r="AB16" s="216">
        <f>VLOOKUP(AB15,$Q$3:$R$6,2,0)</f>
        <v/>
      </c>
      <c r="AC16" s="216">
        <f>VLOOKUP(AC15,$Q$3:$R$6,2,0)</f>
        <v/>
      </c>
      <c r="AD16" s="216">
        <f>VLOOKUP(AD15,$Q$3:$R$6,2,0)</f>
        <v/>
      </c>
      <c r="AE16" s="216">
        <f>VLOOKUP(AE15,$Q$3:$R$6,2,0)</f>
        <v/>
      </c>
      <c r="AF16" s="216">
        <f>VLOOKUP(AF15,$Q$3:$R$6,2,0)</f>
        <v/>
      </c>
      <c r="AG16" s="216">
        <f>VLOOKUP(AG15,$Q$3:$R$6,2,0)</f>
        <v/>
      </c>
      <c r="AH16" s="216">
        <f>VLOOKUP(AH15,$Q$3:$R$6,2,0)</f>
        <v/>
      </c>
      <c r="AI16" s="216">
        <f>VLOOKUP(AI15,$Q$3:$R$6,2,0)</f>
        <v/>
      </c>
      <c r="AJ16" s="216">
        <f>VLOOKUP(AJ15,$Q$3:$R$6,2,0)</f>
        <v/>
      </c>
      <c r="AK16" s="216">
        <f>VLOOKUP(AK15,$Q$3:$R$6,2,0)</f>
        <v/>
      </c>
      <c r="AL16" s="216">
        <f>VLOOKUP(AL15,$Q$3:$R$6,2,0)</f>
        <v/>
      </c>
      <c r="AM16" s="216">
        <f>VLOOKUP(AM15,$Q$3:$R$6,2,0)</f>
        <v/>
      </c>
      <c r="AN16" s="216">
        <f>VLOOKUP(AN15,$Q$3:$R$6,2,0)</f>
        <v/>
      </c>
      <c r="AO16" s="216">
        <f>VLOOKUP(AO15,$Q$3:$R$6,2,0)</f>
        <v/>
      </c>
      <c r="AP16" s="216">
        <f>VLOOKUP(AP15,$Q$3:$R$6,2,0)</f>
        <v/>
      </c>
      <c r="AQ16" s="216">
        <f>VLOOKUP(AQ15,$Q$3:$R$6,2,0)</f>
        <v/>
      </c>
      <c r="AR16" s="216">
        <f>VLOOKUP(AR15,$Q$3:$R$6,2,0)</f>
        <v/>
      </c>
      <c r="AS16" s="216">
        <f>VLOOKUP(AS15,$Q$3:$R$6,2,0)</f>
        <v/>
      </c>
      <c r="AT16" s="216">
        <f>VLOOKUP(AT15,$Q$3:$R$6,2,0)</f>
        <v/>
      </c>
      <c r="AU16" s="216">
        <f>VLOOKUP(AU15,$Q$3:$R$6,2,0)</f>
        <v/>
      </c>
      <c r="AV16" s="216">
        <f>VLOOKUP(AV15,$Q$3:$R$6,2,0)</f>
        <v/>
      </c>
      <c r="AW16" s="216">
        <f>VLOOKUP(AW15,$Q$3:$R$6,2,0)</f>
        <v/>
      </c>
      <c r="AX16" s="216">
        <f>VLOOKUP(AX15,$Q$3:$R$6,2,0)</f>
        <v/>
      </c>
      <c r="AY16" s="216">
        <f>VLOOKUP(AY15,$Q$3:$R$6,2,0)</f>
        <v/>
      </c>
      <c r="AZ16" s="216">
        <f>VLOOKUP(AZ15,$Q$3:$R$6,2,0)</f>
        <v/>
      </c>
      <c r="BA16" s="216">
        <f>VLOOKUP(BA15,$Q$3:$R$6,2,0)</f>
        <v/>
      </c>
      <c r="BB16" s="216">
        <f>VLOOKUP(BB15,$Q$3:$R$6,2,0)</f>
        <v/>
      </c>
      <c r="BC16" s="216">
        <f>VLOOKUP(BC15,$Q$3:$R$6,2,0)</f>
        <v/>
      </c>
      <c r="BD16" s="217">
        <f>VLOOKUP(BD15,$Q$3:$R$6,2,0)</f>
        <v/>
      </c>
      <c r="BE16" s="217">
        <f>VLOOKUP(BE15,$Q$3:$R$6,2,0)</f>
        <v/>
      </c>
      <c r="BF16" s="217">
        <f>VLOOKUP(BF15,$Q$3:$R$6,2,0)</f>
        <v/>
      </c>
      <c r="BG16" s="217">
        <f>VLOOKUP(BG15,$Q$3:$R$6,2,0)</f>
        <v/>
      </c>
      <c r="BH16" s="217">
        <f>VLOOKUP(BH15,$Q$3:$R$6,2,0)</f>
        <v/>
      </c>
      <c r="BI16" s="217">
        <f>VLOOKUP(BI15,$Q$3:$R$6,2,0)</f>
        <v/>
      </c>
      <c r="BJ16" s="217">
        <f>VLOOKUP(BJ15,$Q$3:$R$6,2,0)</f>
        <v/>
      </c>
      <c r="BK16" s="217">
        <f>VLOOKUP(BK15,$Q$3:$R$6,2,0)</f>
        <v/>
      </c>
      <c r="BL16" s="217">
        <f>VLOOKUP(BL15,$Q$3:$R$6,2,0)</f>
        <v/>
      </c>
      <c r="BM16" s="217">
        <f>VLOOKUP(BM15,$Q$3:$R$6,2,0)</f>
        <v/>
      </c>
      <c r="BN16" s="217">
        <f>VLOOKUP(BN15,$Q$3:$R$6,2,0)</f>
        <v/>
      </c>
      <c r="BO16" s="217">
        <f>VLOOKUP(BO15,$Q$3:$R$6,2,0)</f>
        <v/>
      </c>
      <c r="BP16" s="217">
        <f>VLOOKUP(BP15,$Q$3:$R$6,2,0)</f>
        <v/>
      </c>
      <c r="BQ16" s="234" t="n"/>
      <c r="BR16" s="67" t="n"/>
    </row>
    <row r="17" ht="17" customHeight="1" s="165">
      <c r="A17" s="210" t="n"/>
      <c r="B17" s="57" t="inlineStr">
        <is>
          <t>Annual Travel Distance (km)</t>
        </is>
      </c>
      <c r="C17" s="235" t="n">
        <v>238</v>
      </c>
      <c r="D17" s="235" t="n">
        <v>682</v>
      </c>
      <c r="E17" s="235" t="n">
        <v>1598</v>
      </c>
      <c r="F17" s="235" t="n"/>
      <c r="G17" s="235" t="n"/>
      <c r="H17" s="235" t="n"/>
      <c r="I17" s="235" t="n"/>
      <c r="J17" s="235" t="n">
        <v>3399</v>
      </c>
      <c r="K17" s="235" t="n"/>
      <c r="L17" s="235" t="n"/>
      <c r="M17" s="235" t="n"/>
      <c r="N17" s="235" t="n"/>
      <c r="O17" s="235" t="n"/>
      <c r="P17" s="235" t="n"/>
      <c r="Q17" s="235" t="n"/>
      <c r="R17" s="235" t="n">
        <v>715</v>
      </c>
      <c r="S17" s="235" t="n">
        <v>118</v>
      </c>
      <c r="T17" s="236" t="n">
        <v>1898</v>
      </c>
      <c r="U17" s="236" t="n">
        <v>782</v>
      </c>
      <c r="V17" s="236" t="n">
        <v>74</v>
      </c>
      <c r="W17" s="236" t="n">
        <v>1252</v>
      </c>
      <c r="X17" s="236" t="n">
        <v>3575</v>
      </c>
      <c r="Y17" s="236" t="n">
        <v>94</v>
      </c>
      <c r="Z17" s="236" t="n">
        <v>339</v>
      </c>
      <c r="AA17" s="236" t="n">
        <v>134</v>
      </c>
      <c r="AB17" s="236" t="n">
        <v>324</v>
      </c>
      <c r="AC17" s="236" t="n">
        <v>144</v>
      </c>
      <c r="AD17" s="236" t="n">
        <v>114</v>
      </c>
      <c r="AE17" s="236" t="n">
        <v>32</v>
      </c>
      <c r="AF17" s="236" t="n">
        <v>48</v>
      </c>
      <c r="AG17" s="236" t="n">
        <v>903</v>
      </c>
      <c r="AH17" s="236" t="n">
        <v>64</v>
      </c>
      <c r="AI17" s="236" t="n">
        <v>594</v>
      </c>
      <c r="AJ17" s="236" t="n">
        <v>171</v>
      </c>
      <c r="AK17" s="236" t="n">
        <v>962</v>
      </c>
      <c r="AL17" s="236" t="n">
        <v>738</v>
      </c>
      <c r="AM17" s="236" t="n">
        <v>693</v>
      </c>
      <c r="AN17" s="236" t="n">
        <v>40</v>
      </c>
      <c r="AO17" s="236" t="n">
        <v>875</v>
      </c>
      <c r="AP17" s="236" t="n">
        <v>160</v>
      </c>
      <c r="AQ17" s="236" t="n">
        <v>341</v>
      </c>
      <c r="AR17" s="236" t="n">
        <v>54</v>
      </c>
      <c r="AS17" s="236" t="n">
        <v>2536</v>
      </c>
      <c r="AT17" s="236" t="n">
        <v>105</v>
      </c>
      <c r="AU17" s="236" t="n">
        <v>102</v>
      </c>
      <c r="AV17" s="236" t="n">
        <v>329</v>
      </c>
      <c r="AW17" s="236" t="n">
        <v>342</v>
      </c>
      <c r="AX17" s="236" t="n"/>
      <c r="AY17" s="236" t="n"/>
      <c r="AZ17" s="236" t="n"/>
      <c r="BA17" s="236" t="n"/>
      <c r="BB17" s="236" t="n"/>
      <c r="BC17" s="236" t="n"/>
      <c r="BD17" s="236" t="n"/>
      <c r="BE17" s="236" t="n"/>
      <c r="BF17" s="236" t="n"/>
      <c r="BG17" s="236" t="n"/>
      <c r="BH17" s="236" t="n"/>
      <c r="BI17" s="236" t="n"/>
      <c r="BJ17" s="236" t="n"/>
      <c r="BK17" s="236" t="n"/>
      <c r="BL17" s="236" t="n"/>
      <c r="BM17" s="236" t="n"/>
      <c r="BN17" s="236" t="n"/>
      <c r="BO17" s="236" t="n"/>
      <c r="BP17" s="236" t="n"/>
      <c r="BQ17" s="234" t="n"/>
      <c r="BR17" s="67" t="n"/>
    </row>
    <row r="18" ht="18.5" customHeight="1" s="165">
      <c r="A18" s="192" t="n"/>
      <c r="B18" s="77" t="inlineStr">
        <is>
          <t>Total Sold Weight (kg)</t>
        </is>
      </c>
      <c r="C18" s="237" t="n">
        <v>77.7542</v>
      </c>
      <c r="D18" s="237" t="n">
        <v>43052.9702</v>
      </c>
      <c r="E18" s="237" t="n">
        <v>11250.043</v>
      </c>
      <c r="F18" s="237" t="n"/>
      <c r="G18" s="237" t="n"/>
      <c r="H18" s="237" t="n"/>
      <c r="I18" s="237" t="n"/>
      <c r="J18" s="237" t="n">
        <v>1871.9134</v>
      </c>
      <c r="K18" s="237" t="n"/>
      <c r="L18" s="237" t="n"/>
      <c r="M18" s="237" t="n"/>
      <c r="N18" s="237" t="n"/>
      <c r="O18" s="237" t="n"/>
      <c r="P18" s="237" t="n"/>
      <c r="Q18" s="237" t="n"/>
      <c r="R18" s="237" t="n">
        <v>5871.58</v>
      </c>
      <c r="S18" s="237" t="n">
        <v>107.8715</v>
      </c>
      <c r="T18" s="238" t="n">
        <v>2502.6283</v>
      </c>
      <c r="U18" s="238" t="n">
        <v>757.9614</v>
      </c>
      <c r="V18" s="238" t="n">
        <v>50.992</v>
      </c>
      <c r="W18" s="238" t="n">
        <v>3003.9154</v>
      </c>
      <c r="X18" s="238" t="n">
        <v>436.3644</v>
      </c>
      <c r="Y18" s="238" t="n">
        <v>82.2576</v>
      </c>
      <c r="Z18" s="238" t="n">
        <v>7.15</v>
      </c>
      <c r="AA18" s="238" t="n">
        <v>22.756</v>
      </c>
      <c r="AB18" s="238" t="n">
        <v>27.6206</v>
      </c>
      <c r="AC18" s="238" t="n">
        <v>152.0918</v>
      </c>
      <c r="AD18" s="238" t="n">
        <v>16.486</v>
      </c>
      <c r="AE18" s="238" t="n">
        <v>8.8194</v>
      </c>
      <c r="AF18" s="238" t="n">
        <v>12.086</v>
      </c>
      <c r="AG18" s="238" t="n">
        <v>198.3568</v>
      </c>
      <c r="AH18" s="238" t="n">
        <v>0.998</v>
      </c>
      <c r="AI18" s="238" t="n">
        <v>45.1238</v>
      </c>
      <c r="AJ18" s="238" t="n">
        <v>125.188</v>
      </c>
      <c r="AK18" s="238" t="n">
        <v>2958.8168</v>
      </c>
      <c r="AL18" s="238" t="n">
        <v>360.4915</v>
      </c>
      <c r="AM18" s="238" t="n">
        <v>813.5235</v>
      </c>
      <c r="AN18" s="238" t="n">
        <v>382.806</v>
      </c>
      <c r="AO18" s="238" t="n">
        <v>3160.53</v>
      </c>
      <c r="AP18" s="238" t="n">
        <v>133.2558</v>
      </c>
      <c r="AQ18" s="238" t="n">
        <v>17.0028</v>
      </c>
      <c r="AR18" s="238" t="n">
        <v>132.6</v>
      </c>
      <c r="AS18" s="238" t="n">
        <v>502.2798</v>
      </c>
      <c r="AT18" s="238" t="n">
        <v>8.243</v>
      </c>
      <c r="AU18" s="238" t="n">
        <v>0.998</v>
      </c>
      <c r="AV18" s="238" t="n">
        <v>164.369</v>
      </c>
      <c r="AW18" s="238" t="n">
        <v>6886.8568</v>
      </c>
      <c r="AX18" s="238" t="n"/>
      <c r="AY18" s="238" t="n"/>
      <c r="AZ18" s="238" t="n"/>
      <c r="BA18" s="238" t="n"/>
      <c r="BB18" s="238" t="n"/>
      <c r="BC18" s="238" t="n"/>
      <c r="BD18" s="238" t="n"/>
      <c r="BE18" s="238" t="n"/>
      <c r="BF18" s="238" t="n"/>
      <c r="BG18" s="238" t="n"/>
      <c r="BH18" s="238" t="n"/>
      <c r="BI18" s="238" t="n"/>
      <c r="BJ18" s="238" t="n"/>
      <c r="BK18" s="238" t="n"/>
      <c r="BL18" s="238" t="n"/>
      <c r="BM18" s="238" t="n"/>
      <c r="BN18" s="238" t="n"/>
      <c r="BO18" s="238" t="n"/>
      <c r="BP18" s="238" t="n"/>
      <c r="BQ18" s="198">
        <f t="array" ref="BQ18">SUMPRODUCT(C16:BP16,C17:BP17,C18:BP18/1000)</f>
        <v/>
      </c>
      <c r="BR18" s="199">
        <f>BQ18/1000</f>
        <v/>
      </c>
    </row>
    <row r="19" ht="18.5" customHeight="1" s="165">
      <c r="A19" s="152" t="inlineStr">
        <is>
          <t>Logistics Center</t>
        </is>
      </c>
      <c r="B19" s="56" t="inlineStr">
        <is>
          <t>Transport Mode</t>
        </is>
      </c>
      <c r="C19" s="213" t="inlineStr">
        <is>
          <t>Rail</t>
        </is>
      </c>
      <c r="D19" s="213" t="inlineStr">
        <is>
          <t>Truck</t>
        </is>
      </c>
      <c r="E19" s="213" t="inlineStr">
        <is>
          <t>Truck</t>
        </is>
      </c>
      <c r="F19" s="213" t="inlineStr">
        <is>
          <t>Air</t>
        </is>
      </c>
      <c r="G19" s="213" t="inlineStr">
        <is>
          <t>Truck</t>
        </is>
      </c>
      <c r="H19" s="213" t="inlineStr">
        <is>
          <t>Truck</t>
        </is>
      </c>
      <c r="I19" s="213" t="inlineStr">
        <is>
          <t>Truck</t>
        </is>
      </c>
      <c r="J19" s="213" t="inlineStr">
        <is>
          <t>Truck</t>
        </is>
      </c>
      <c r="K19" s="213" t="inlineStr">
        <is>
          <t>Truck</t>
        </is>
      </c>
      <c r="L19" s="213" t="inlineStr">
        <is>
          <t>Ocean Vessel</t>
        </is>
      </c>
      <c r="M19" s="213" t="inlineStr">
        <is>
          <t>Truck</t>
        </is>
      </c>
      <c r="N19" s="213" t="inlineStr">
        <is>
          <t>Truck</t>
        </is>
      </c>
      <c r="O19" s="213" t="inlineStr">
        <is>
          <t>Truck</t>
        </is>
      </c>
      <c r="P19" s="213" t="inlineStr">
        <is>
          <t>Truck</t>
        </is>
      </c>
      <c r="Q19" s="213" t="inlineStr">
        <is>
          <t>Truck</t>
        </is>
      </c>
      <c r="R19" s="213" t="inlineStr">
        <is>
          <t>Truck</t>
        </is>
      </c>
      <c r="S19" s="213" t="inlineStr">
        <is>
          <t>Truck</t>
        </is>
      </c>
      <c r="T19" s="213" t="inlineStr">
        <is>
          <t>Truck</t>
        </is>
      </c>
      <c r="U19" s="213" t="inlineStr">
        <is>
          <t>Truck</t>
        </is>
      </c>
      <c r="V19" s="213" t="inlineStr">
        <is>
          <t>Truck</t>
        </is>
      </c>
      <c r="W19" s="213" t="inlineStr">
        <is>
          <t>Truck</t>
        </is>
      </c>
      <c r="X19" s="213" t="inlineStr">
        <is>
          <t>Truck</t>
        </is>
      </c>
      <c r="Y19" s="213" t="inlineStr">
        <is>
          <t>Truck</t>
        </is>
      </c>
      <c r="Z19" s="213" t="inlineStr">
        <is>
          <t>Truck</t>
        </is>
      </c>
      <c r="AA19" s="213" t="inlineStr">
        <is>
          <t>Truck</t>
        </is>
      </c>
      <c r="AB19" s="213" t="inlineStr">
        <is>
          <t>Truck</t>
        </is>
      </c>
      <c r="AC19" s="213" t="inlineStr">
        <is>
          <t>Truck</t>
        </is>
      </c>
      <c r="AD19" s="213" t="inlineStr">
        <is>
          <t>Truck</t>
        </is>
      </c>
      <c r="AE19" s="213" t="inlineStr">
        <is>
          <t>Truck</t>
        </is>
      </c>
      <c r="AF19" s="213" t="inlineStr">
        <is>
          <t>Truck</t>
        </is>
      </c>
      <c r="AG19" s="213" t="inlineStr">
        <is>
          <t>Truck</t>
        </is>
      </c>
      <c r="AH19" s="213" t="inlineStr">
        <is>
          <t>Truck</t>
        </is>
      </c>
      <c r="AI19" s="213" t="inlineStr">
        <is>
          <t>Truck</t>
        </is>
      </c>
      <c r="AJ19" s="213" t="inlineStr">
        <is>
          <t>Truck</t>
        </is>
      </c>
      <c r="AK19" s="213" t="inlineStr">
        <is>
          <t>Truck</t>
        </is>
      </c>
      <c r="AL19" s="213" t="inlineStr">
        <is>
          <t>Truck</t>
        </is>
      </c>
      <c r="AM19" s="213" t="inlineStr">
        <is>
          <t>Truck</t>
        </is>
      </c>
      <c r="AN19" s="213" t="inlineStr">
        <is>
          <t>Truck</t>
        </is>
      </c>
      <c r="AO19" s="213" t="inlineStr">
        <is>
          <t>Truck</t>
        </is>
      </c>
      <c r="AP19" s="213" t="inlineStr">
        <is>
          <t>Truck</t>
        </is>
      </c>
      <c r="AQ19" s="213" t="inlineStr">
        <is>
          <t>Truck</t>
        </is>
      </c>
      <c r="AR19" s="213" t="inlineStr">
        <is>
          <t>Truck</t>
        </is>
      </c>
      <c r="AS19" s="213" t="inlineStr">
        <is>
          <t>Truck</t>
        </is>
      </c>
      <c r="AT19" s="213" t="inlineStr">
        <is>
          <t>Truck</t>
        </is>
      </c>
      <c r="AU19" s="213" t="inlineStr">
        <is>
          <t>Truck</t>
        </is>
      </c>
      <c r="AV19" s="213" t="inlineStr">
        <is>
          <t>Truck</t>
        </is>
      </c>
      <c r="AW19" s="213" t="inlineStr">
        <is>
          <t>Truck</t>
        </is>
      </c>
      <c r="AX19" s="213" t="inlineStr">
        <is>
          <t>Truck</t>
        </is>
      </c>
      <c r="AY19" s="213" t="inlineStr">
        <is>
          <t>Truck</t>
        </is>
      </c>
      <c r="AZ19" s="213" t="inlineStr">
        <is>
          <t>Truck</t>
        </is>
      </c>
      <c r="BA19" s="213" t="inlineStr">
        <is>
          <t>Truck</t>
        </is>
      </c>
      <c r="BB19" s="213" t="inlineStr">
        <is>
          <t>Truck</t>
        </is>
      </c>
      <c r="BC19" s="213" t="inlineStr">
        <is>
          <t>Truck</t>
        </is>
      </c>
      <c r="BD19" s="214" t="inlineStr">
        <is>
          <t>Truck</t>
        </is>
      </c>
      <c r="BE19" s="214" t="inlineStr">
        <is>
          <t>Truck</t>
        </is>
      </c>
      <c r="BF19" s="214" t="inlineStr">
        <is>
          <t>Truck</t>
        </is>
      </c>
      <c r="BG19" s="214" t="inlineStr">
        <is>
          <t>Truck</t>
        </is>
      </c>
      <c r="BH19" s="214" t="inlineStr">
        <is>
          <t>Truck</t>
        </is>
      </c>
      <c r="BI19" s="214" t="inlineStr">
        <is>
          <t>Truck</t>
        </is>
      </c>
      <c r="BJ19" s="214" t="inlineStr">
        <is>
          <t>Truck</t>
        </is>
      </c>
      <c r="BK19" s="214" t="inlineStr">
        <is>
          <t>Truck</t>
        </is>
      </c>
      <c r="BL19" s="214" t="inlineStr">
        <is>
          <t>Truck</t>
        </is>
      </c>
      <c r="BM19" s="214" t="inlineStr">
        <is>
          <t>Truck</t>
        </is>
      </c>
      <c r="BN19" s="214" t="inlineStr">
        <is>
          <t>Truck</t>
        </is>
      </c>
      <c r="BO19" s="214" t="inlineStr">
        <is>
          <t>Truck</t>
        </is>
      </c>
      <c r="BP19" s="214" t="inlineStr">
        <is>
          <t>Truck</t>
        </is>
      </c>
      <c r="BQ19" s="70" t="n"/>
      <c r="BR19" s="67" t="n"/>
    </row>
    <row r="20" ht="17" customHeight="1" s="165">
      <c r="A20" s="210" t="n"/>
      <c r="B20" s="152" t="inlineStr">
        <is>
          <t>Emission Factor (Auto)</t>
        </is>
      </c>
      <c r="C20" s="216">
        <f>VLOOKUP(C19,$Q$3:$R$6,2,0)</f>
        <v/>
      </c>
      <c r="D20" s="216">
        <f>VLOOKUP(D19,$Q$3:$R$6,2,0)</f>
        <v/>
      </c>
      <c r="E20" s="216">
        <f>VLOOKUP(E19,$Q$3:$R$6,2,0)</f>
        <v/>
      </c>
      <c r="F20" s="216">
        <f>VLOOKUP(F19,$Q$3:$R$6,2,0)</f>
        <v/>
      </c>
      <c r="G20" s="216">
        <f>VLOOKUP(G19,$Q$3:$R$6,2,0)</f>
        <v/>
      </c>
      <c r="H20" s="216">
        <f>VLOOKUP(H19,$Q$3:$R$6,2,0)</f>
        <v/>
      </c>
      <c r="I20" s="216">
        <f>VLOOKUP(I19,$Q$3:$R$6,2,0)</f>
        <v/>
      </c>
      <c r="J20" s="216">
        <f>VLOOKUP(J19,$Q$3:$R$6,2,0)</f>
        <v/>
      </c>
      <c r="K20" s="216">
        <f>VLOOKUP(K19,$Q$3:$R$6,2,0)</f>
        <v/>
      </c>
      <c r="L20" s="216">
        <f>VLOOKUP(L19,$Q$3:$R$6,2,0)</f>
        <v/>
      </c>
      <c r="M20" s="216">
        <f>VLOOKUP(M19,$Q$3:$R$6,2,0)</f>
        <v/>
      </c>
      <c r="N20" s="216">
        <f>VLOOKUP(N19,$Q$3:$R$6,2,0)</f>
        <v/>
      </c>
      <c r="O20" s="216">
        <f>VLOOKUP(O19,$Q$3:$R$6,2,0)</f>
        <v/>
      </c>
      <c r="P20" s="216">
        <f>VLOOKUP(P19,$Q$3:$R$6,2,0)</f>
        <v/>
      </c>
      <c r="Q20" s="216">
        <f>VLOOKUP(Q19,$Q$3:$R$6,2,0)</f>
        <v/>
      </c>
      <c r="R20" s="216">
        <f>VLOOKUP(R19,$Q$3:$R$6,2,0)</f>
        <v/>
      </c>
      <c r="S20" s="216">
        <f>VLOOKUP(S19,$Q$3:$R$6,2,0)</f>
        <v/>
      </c>
      <c r="T20" s="216">
        <f>VLOOKUP(T19,$Q$3:$R$6,2,0)</f>
        <v/>
      </c>
      <c r="U20" s="216">
        <f>VLOOKUP(U19,$Q$3:$R$6,2,0)</f>
        <v/>
      </c>
      <c r="V20" s="216">
        <f>VLOOKUP(V19,$Q$3:$R$6,2,0)</f>
        <v/>
      </c>
      <c r="W20" s="216">
        <f>VLOOKUP(W19,$Q$3:$R$6,2,0)</f>
        <v/>
      </c>
      <c r="X20" s="216">
        <f>VLOOKUP(X19,$Q$3:$R$6,2,0)</f>
        <v/>
      </c>
      <c r="Y20" s="216">
        <f>VLOOKUP(Y19,$Q$3:$R$6,2,0)</f>
        <v/>
      </c>
      <c r="Z20" s="216">
        <f>VLOOKUP(Z19,$Q$3:$R$6,2,0)</f>
        <v/>
      </c>
      <c r="AA20" s="216">
        <f>VLOOKUP(AA19,$Q$3:$R$6,2,0)</f>
        <v/>
      </c>
      <c r="AB20" s="216">
        <f>VLOOKUP(AB19,$Q$3:$R$6,2,0)</f>
        <v/>
      </c>
      <c r="AC20" s="216">
        <f>VLOOKUP(AC19,$Q$3:$R$6,2,0)</f>
        <v/>
      </c>
      <c r="AD20" s="216">
        <f>VLOOKUP(AD19,$Q$3:$R$6,2,0)</f>
        <v/>
      </c>
      <c r="AE20" s="216">
        <f>VLOOKUP(AE19,$Q$3:$R$6,2,0)</f>
        <v/>
      </c>
      <c r="AF20" s="216">
        <f>VLOOKUP(AF19,$Q$3:$R$6,2,0)</f>
        <v/>
      </c>
      <c r="AG20" s="216">
        <f>VLOOKUP(AG19,$Q$3:$R$6,2,0)</f>
        <v/>
      </c>
      <c r="AH20" s="216">
        <f>VLOOKUP(AH19,$Q$3:$R$6,2,0)</f>
        <v/>
      </c>
      <c r="AI20" s="216">
        <f>VLOOKUP(AI19,$Q$3:$R$6,2,0)</f>
        <v/>
      </c>
      <c r="AJ20" s="216">
        <f>VLOOKUP(AJ19,$Q$3:$R$6,2,0)</f>
        <v/>
      </c>
      <c r="AK20" s="216">
        <f>VLOOKUP(AK19,$Q$3:$R$6,2,0)</f>
        <v/>
      </c>
      <c r="AL20" s="216">
        <f>VLOOKUP(AL19,$Q$3:$R$6,2,0)</f>
        <v/>
      </c>
      <c r="AM20" s="216">
        <f>VLOOKUP(AM19,$Q$3:$R$6,2,0)</f>
        <v/>
      </c>
      <c r="AN20" s="216">
        <f>VLOOKUP(AN19,$Q$3:$R$6,2,0)</f>
        <v/>
      </c>
      <c r="AO20" s="216">
        <f>VLOOKUP(AO19,$Q$3:$R$6,2,0)</f>
        <v/>
      </c>
      <c r="AP20" s="216">
        <f>VLOOKUP(AP19,$Q$3:$R$6,2,0)</f>
        <v/>
      </c>
      <c r="AQ20" s="216">
        <f>VLOOKUP(AQ19,$Q$3:$R$6,2,0)</f>
        <v/>
      </c>
      <c r="AR20" s="216">
        <f>VLOOKUP(AR19,$Q$3:$R$6,2,0)</f>
        <v/>
      </c>
      <c r="AS20" s="216">
        <f>VLOOKUP(AS19,$Q$3:$R$6,2,0)</f>
        <v/>
      </c>
      <c r="AT20" s="216">
        <f>VLOOKUP(AT19,$Q$3:$R$6,2,0)</f>
        <v/>
      </c>
      <c r="AU20" s="216">
        <f>VLOOKUP(AU19,$Q$3:$R$6,2,0)</f>
        <v/>
      </c>
      <c r="AV20" s="216">
        <f>VLOOKUP(AV19,$Q$3:$R$6,2,0)</f>
        <v/>
      </c>
      <c r="AW20" s="216">
        <f>VLOOKUP(AW19,$Q$3:$R$6,2,0)</f>
        <v/>
      </c>
      <c r="AX20" s="216">
        <f>VLOOKUP(AX19,$Q$3:$R$6,2,0)</f>
        <v/>
      </c>
      <c r="AY20" s="216">
        <f>VLOOKUP(AY19,$Q$3:$R$6,2,0)</f>
        <v/>
      </c>
      <c r="AZ20" s="216">
        <f>VLOOKUP(AZ19,$Q$3:$R$6,2,0)</f>
        <v/>
      </c>
      <c r="BA20" s="216">
        <f>VLOOKUP(BA19,$Q$3:$R$6,2,0)</f>
        <v/>
      </c>
      <c r="BB20" s="216">
        <f>VLOOKUP(BB19,$Q$3:$R$6,2,0)</f>
        <v/>
      </c>
      <c r="BC20" s="216">
        <f>VLOOKUP(BC19,$Q$3:$R$6,2,0)</f>
        <v/>
      </c>
      <c r="BD20" s="217">
        <f>VLOOKUP(BD19,$Q$3:$R$6,2,0)</f>
        <v/>
      </c>
      <c r="BE20" s="217">
        <f>VLOOKUP(BE19,$Q$3:$R$6,2,0)</f>
        <v/>
      </c>
      <c r="BF20" s="217">
        <f>VLOOKUP(BF19,$Q$3:$R$6,2,0)</f>
        <v/>
      </c>
      <c r="BG20" s="217">
        <f>VLOOKUP(BG19,$Q$3:$R$6,2,0)</f>
        <v/>
      </c>
      <c r="BH20" s="217">
        <f>VLOOKUP(BH19,$Q$3:$R$6,2,0)</f>
        <v/>
      </c>
      <c r="BI20" s="217">
        <f>VLOOKUP(BI19,$Q$3:$R$6,2,0)</f>
        <v/>
      </c>
      <c r="BJ20" s="217">
        <f>VLOOKUP(BJ19,$Q$3:$R$6,2,0)</f>
        <v/>
      </c>
      <c r="BK20" s="217">
        <f>VLOOKUP(BK19,$Q$3:$R$6,2,0)</f>
        <v/>
      </c>
      <c r="BL20" s="217">
        <f>VLOOKUP(BL19,$Q$3:$R$6,2,0)</f>
        <v/>
      </c>
      <c r="BM20" s="217">
        <f>VLOOKUP(BM19,$Q$3:$R$6,2,0)</f>
        <v/>
      </c>
      <c r="BN20" s="217">
        <f>VLOOKUP(BN19,$Q$3:$R$6,2,0)</f>
        <v/>
      </c>
      <c r="BO20" s="217">
        <f>VLOOKUP(BO19,$Q$3:$R$6,2,0)</f>
        <v/>
      </c>
      <c r="BP20" s="217">
        <f>VLOOKUP(BP19,$Q$3:$R$6,2,0)</f>
        <v/>
      </c>
      <c r="BQ20" s="234" t="n"/>
      <c r="BR20" s="67" t="n"/>
    </row>
    <row r="21" ht="17" customHeight="1" s="165">
      <c r="A21" s="210" t="n"/>
      <c r="B21" s="57" t="inlineStr">
        <is>
          <t>Annual Travel Distance (km)</t>
        </is>
      </c>
      <c r="C21" s="235" t="n"/>
      <c r="D21" s="235" t="n"/>
      <c r="E21" s="235" t="n"/>
      <c r="F21" s="235" t="n"/>
      <c r="G21" s="235" t="n"/>
      <c r="H21" s="235" t="n"/>
      <c r="I21" s="235" t="n"/>
      <c r="J21" s="235" t="n"/>
      <c r="K21" s="235" t="n"/>
      <c r="L21" s="235" t="n"/>
      <c r="M21" s="235" t="n"/>
      <c r="N21" s="235" t="n"/>
      <c r="O21" s="235" t="n"/>
      <c r="P21" s="235" t="n"/>
      <c r="Q21" s="235" t="n"/>
      <c r="R21" s="235" t="n"/>
      <c r="S21" s="235" t="n"/>
      <c r="T21" s="235" t="n"/>
      <c r="U21" s="235" t="n"/>
      <c r="V21" s="235" t="n"/>
      <c r="W21" s="235" t="n"/>
      <c r="X21" s="235" t="n"/>
      <c r="Y21" s="235" t="n"/>
      <c r="Z21" s="235" t="n"/>
      <c r="AA21" s="235" t="n"/>
      <c r="AB21" s="235" t="n"/>
      <c r="AC21" s="235" t="n"/>
      <c r="AD21" s="235" t="n"/>
      <c r="AE21" s="235" t="n"/>
      <c r="AF21" s="235" t="n"/>
      <c r="AG21" s="235" t="n"/>
      <c r="AH21" s="235" t="n"/>
      <c r="AI21" s="235" t="n"/>
      <c r="AJ21" s="235" t="n"/>
      <c r="AK21" s="235" t="n"/>
      <c r="AL21" s="235" t="n"/>
      <c r="AM21" s="235" t="n"/>
      <c r="AN21" s="235" t="n"/>
      <c r="AO21" s="235" t="n"/>
      <c r="AP21" s="235" t="n"/>
      <c r="AQ21" s="235" t="n"/>
      <c r="AR21" s="235" t="n"/>
      <c r="AS21" s="235" t="n"/>
      <c r="AT21" s="235" t="n"/>
      <c r="AU21" s="235" t="n"/>
      <c r="AV21" s="235" t="n"/>
      <c r="AW21" s="235" t="n"/>
      <c r="AX21" s="235" t="n"/>
      <c r="AY21" s="235" t="n"/>
      <c r="AZ21" s="235" t="n"/>
      <c r="BA21" s="235" t="n"/>
      <c r="BB21" s="235" t="n"/>
      <c r="BC21" s="235" t="n"/>
      <c r="BD21" s="236" t="n"/>
      <c r="BE21" s="236" t="n"/>
      <c r="BF21" s="236" t="n"/>
      <c r="BG21" s="236" t="n"/>
      <c r="BH21" s="236" t="n"/>
      <c r="BI21" s="236" t="n"/>
      <c r="BJ21" s="236" t="n"/>
      <c r="BK21" s="236" t="n"/>
      <c r="BL21" s="236" t="n"/>
      <c r="BM21" s="236" t="n"/>
      <c r="BN21" s="236" t="n"/>
      <c r="BO21" s="236" t="n"/>
      <c r="BP21" s="236" t="n"/>
      <c r="BQ21" s="234" t="n"/>
      <c r="BR21" s="67" t="n"/>
    </row>
    <row r="22" ht="18.5" customHeight="1" s="165">
      <c r="A22" s="192" t="n"/>
      <c r="B22" s="77" t="inlineStr">
        <is>
          <t>Total Sold Weight (kg)</t>
        </is>
      </c>
      <c r="C22" s="78" t="n"/>
      <c r="D22" s="78" t="n"/>
      <c r="E22" s="78" t="n"/>
      <c r="F22" s="78" t="n"/>
      <c r="G22" s="78" t="n"/>
      <c r="H22" s="78" t="n"/>
      <c r="I22" s="78" t="n"/>
      <c r="J22" s="78" t="n"/>
      <c r="K22" s="78" t="n"/>
      <c r="L22" s="78" t="n"/>
      <c r="M22" s="78" t="n"/>
      <c r="N22" s="78" t="n"/>
      <c r="O22" s="78" t="n"/>
      <c r="P22" s="78" t="n"/>
      <c r="Q22" s="78" t="n"/>
      <c r="R22" s="78" t="n"/>
      <c r="S22" s="78" t="n"/>
      <c r="T22" s="78" t="n"/>
      <c r="U22" s="78" t="n"/>
      <c r="V22" s="78" t="n"/>
      <c r="W22" s="78" t="n"/>
      <c r="X22" s="78" t="n"/>
      <c r="Y22" s="78" t="n"/>
      <c r="Z22" s="78" t="n"/>
      <c r="AA22" s="78" t="n"/>
      <c r="AB22" s="78" t="n"/>
      <c r="AC22" s="78" t="n"/>
      <c r="AD22" s="78" t="n"/>
      <c r="AE22" s="78" t="n"/>
      <c r="AF22" s="78" t="n"/>
      <c r="AG22" s="78" t="n"/>
      <c r="AH22" s="78" t="n"/>
      <c r="AI22" s="78" t="n"/>
      <c r="AJ22" s="78" t="n"/>
      <c r="AK22" s="78" t="n"/>
      <c r="AL22" s="78" t="n"/>
      <c r="AM22" s="78" t="n"/>
      <c r="AN22" s="78" t="n"/>
      <c r="AO22" s="78" t="n"/>
      <c r="AP22" s="78" t="n"/>
      <c r="AQ22" s="78" t="n"/>
      <c r="AR22" s="78" t="n"/>
      <c r="AS22" s="78" t="n"/>
      <c r="AT22" s="78" t="n"/>
      <c r="AU22" s="78" t="n"/>
      <c r="AV22" s="78" t="n"/>
      <c r="AW22" s="78" t="n"/>
      <c r="AX22" s="78" t="n"/>
      <c r="AY22" s="78" t="n"/>
      <c r="AZ22" s="78" t="n"/>
      <c r="BA22" s="78" t="n"/>
      <c r="BB22" s="78" t="n"/>
      <c r="BC22" s="78" t="n"/>
      <c r="BD22" s="79" t="n"/>
      <c r="BE22" s="79" t="n"/>
      <c r="BF22" s="79" t="n"/>
      <c r="BG22" s="79" t="n"/>
      <c r="BH22" s="79" t="n"/>
      <c r="BI22" s="79" t="n"/>
      <c r="BJ22" s="79" t="n"/>
      <c r="BK22" s="79" t="n"/>
      <c r="BL22" s="79" t="n"/>
      <c r="BM22" s="79" t="n"/>
      <c r="BN22" s="79" t="n"/>
      <c r="BO22" s="79" t="n"/>
      <c r="BP22" s="79" t="n"/>
      <c r="BQ22" s="198">
        <f t="array" ref="BQ22">SUMPRODUCT(C20:BP20,C21:BP21,C22:BP22/1000)</f>
        <v/>
      </c>
      <c r="BR22" s="199">
        <f>BQ22/1000</f>
        <v/>
      </c>
    </row>
    <row r="23" ht="18.5" customHeight="1" s="165">
      <c r="A23" s="152" t="inlineStr">
        <is>
          <t>Gyeongju</t>
        </is>
      </c>
      <c r="B23" s="56" t="inlineStr">
        <is>
          <t>Transport Mode</t>
        </is>
      </c>
      <c r="C23" s="213" t="inlineStr">
        <is>
          <t>Rail</t>
        </is>
      </c>
      <c r="D23" s="213" t="inlineStr">
        <is>
          <t>Truck</t>
        </is>
      </c>
      <c r="E23" s="213" t="inlineStr">
        <is>
          <t>Truck</t>
        </is>
      </c>
      <c r="F23" s="213" t="inlineStr">
        <is>
          <t>Truck</t>
        </is>
      </c>
      <c r="G23" s="213" t="inlineStr">
        <is>
          <t>Truck</t>
        </is>
      </c>
      <c r="H23" s="213" t="inlineStr">
        <is>
          <t>Truck</t>
        </is>
      </c>
      <c r="I23" s="213" t="inlineStr">
        <is>
          <t>Truck</t>
        </is>
      </c>
      <c r="J23" s="213" t="inlineStr">
        <is>
          <t>Truck</t>
        </is>
      </c>
      <c r="K23" s="213" t="inlineStr">
        <is>
          <t>Truck</t>
        </is>
      </c>
      <c r="L23" s="213" t="inlineStr">
        <is>
          <t>Ocean Vessel</t>
        </is>
      </c>
      <c r="M23" s="213" t="inlineStr">
        <is>
          <t>Truck</t>
        </is>
      </c>
      <c r="N23" s="213" t="inlineStr">
        <is>
          <t>Truck</t>
        </is>
      </c>
      <c r="O23" s="213" t="inlineStr">
        <is>
          <t>Truck</t>
        </is>
      </c>
      <c r="P23" s="213" t="inlineStr">
        <is>
          <t>Truck</t>
        </is>
      </c>
      <c r="Q23" s="213" t="inlineStr">
        <is>
          <t>Truck</t>
        </is>
      </c>
      <c r="R23" s="213" t="inlineStr">
        <is>
          <t>Truck</t>
        </is>
      </c>
      <c r="S23" s="213" t="inlineStr">
        <is>
          <t>Truck</t>
        </is>
      </c>
      <c r="T23" s="213" t="inlineStr">
        <is>
          <t>Truck</t>
        </is>
      </c>
      <c r="U23" s="213" t="inlineStr">
        <is>
          <t>Truck</t>
        </is>
      </c>
      <c r="V23" s="213" t="inlineStr">
        <is>
          <t>Truck</t>
        </is>
      </c>
      <c r="W23" s="213" t="inlineStr">
        <is>
          <t>Truck</t>
        </is>
      </c>
      <c r="X23" s="213" t="inlineStr">
        <is>
          <t>Truck</t>
        </is>
      </c>
      <c r="Y23" s="213" t="inlineStr">
        <is>
          <t>Truck</t>
        </is>
      </c>
      <c r="Z23" s="213" t="inlineStr">
        <is>
          <t>Truck</t>
        </is>
      </c>
      <c r="AA23" s="213" t="inlineStr">
        <is>
          <t>Truck</t>
        </is>
      </c>
      <c r="AB23" s="213" t="inlineStr">
        <is>
          <t>Truck</t>
        </is>
      </c>
      <c r="AC23" s="213" t="inlineStr">
        <is>
          <t>Truck</t>
        </is>
      </c>
      <c r="AD23" s="213" t="inlineStr">
        <is>
          <t>Truck</t>
        </is>
      </c>
      <c r="AE23" s="213" t="inlineStr">
        <is>
          <t>Truck</t>
        </is>
      </c>
      <c r="AF23" s="213" t="inlineStr">
        <is>
          <t>Truck</t>
        </is>
      </c>
      <c r="AG23" s="213" t="inlineStr">
        <is>
          <t>Truck</t>
        </is>
      </c>
      <c r="AH23" s="213" t="inlineStr">
        <is>
          <t>Truck</t>
        </is>
      </c>
      <c r="AI23" s="213" t="inlineStr">
        <is>
          <t>Truck</t>
        </is>
      </c>
      <c r="AJ23" s="213" t="inlineStr">
        <is>
          <t>Truck</t>
        </is>
      </c>
      <c r="AK23" s="213" t="inlineStr">
        <is>
          <t>Truck</t>
        </is>
      </c>
      <c r="AL23" s="213" t="inlineStr">
        <is>
          <t>Truck</t>
        </is>
      </c>
      <c r="AM23" s="213" t="inlineStr">
        <is>
          <t>Truck</t>
        </is>
      </c>
      <c r="AN23" s="213" t="inlineStr">
        <is>
          <t>Truck</t>
        </is>
      </c>
      <c r="AO23" s="213" t="inlineStr">
        <is>
          <t>Truck</t>
        </is>
      </c>
      <c r="AP23" s="213" t="inlineStr">
        <is>
          <t>Truck</t>
        </is>
      </c>
      <c r="AQ23" s="213" t="inlineStr">
        <is>
          <t>Truck</t>
        </is>
      </c>
      <c r="AR23" s="213" t="inlineStr">
        <is>
          <t>Truck</t>
        </is>
      </c>
      <c r="AS23" s="213" t="inlineStr">
        <is>
          <t>Truck</t>
        </is>
      </c>
      <c r="AT23" s="213" t="inlineStr">
        <is>
          <t>Truck</t>
        </is>
      </c>
      <c r="AU23" s="213" t="inlineStr">
        <is>
          <t>Truck</t>
        </is>
      </c>
      <c r="AV23" s="213" t="inlineStr">
        <is>
          <t>Truck</t>
        </is>
      </c>
      <c r="AW23" s="213" t="inlineStr">
        <is>
          <t>Truck</t>
        </is>
      </c>
      <c r="AX23" s="213" t="inlineStr">
        <is>
          <t>Truck</t>
        </is>
      </c>
      <c r="AY23" s="213" t="inlineStr">
        <is>
          <t>Truck</t>
        </is>
      </c>
      <c r="AZ23" s="213" t="inlineStr">
        <is>
          <t>Truck</t>
        </is>
      </c>
      <c r="BA23" s="213" t="inlineStr">
        <is>
          <t>Truck</t>
        </is>
      </c>
      <c r="BB23" s="213" t="inlineStr">
        <is>
          <t>Truck</t>
        </is>
      </c>
      <c r="BC23" s="213" t="inlineStr">
        <is>
          <t>Truck</t>
        </is>
      </c>
      <c r="BD23" s="214" t="inlineStr">
        <is>
          <t>Truck</t>
        </is>
      </c>
      <c r="BE23" s="214" t="inlineStr">
        <is>
          <t>Truck</t>
        </is>
      </c>
      <c r="BF23" s="214" t="inlineStr">
        <is>
          <t>Truck</t>
        </is>
      </c>
      <c r="BG23" s="214" t="inlineStr">
        <is>
          <t>Truck</t>
        </is>
      </c>
      <c r="BH23" s="214" t="inlineStr">
        <is>
          <t>Truck</t>
        </is>
      </c>
      <c r="BI23" s="214" t="inlineStr">
        <is>
          <t>Truck</t>
        </is>
      </c>
      <c r="BJ23" s="214" t="inlineStr">
        <is>
          <t>Truck</t>
        </is>
      </c>
      <c r="BK23" s="214" t="inlineStr">
        <is>
          <t>Truck</t>
        </is>
      </c>
      <c r="BL23" s="214" t="inlineStr">
        <is>
          <t>Truck</t>
        </is>
      </c>
      <c r="BM23" s="214" t="inlineStr">
        <is>
          <t>Truck</t>
        </is>
      </c>
      <c r="BN23" s="214" t="inlineStr">
        <is>
          <t>Truck</t>
        </is>
      </c>
      <c r="BO23" s="214" t="inlineStr">
        <is>
          <t>Truck</t>
        </is>
      </c>
      <c r="BP23" s="214" t="inlineStr">
        <is>
          <t>Truck</t>
        </is>
      </c>
      <c r="BQ23" s="70" t="n"/>
      <c r="BR23" s="67" t="n"/>
    </row>
    <row r="24" ht="17" customHeight="1" s="165">
      <c r="A24" s="210" t="n"/>
      <c r="B24" s="152" t="inlineStr">
        <is>
          <t>Emission Factor (Auto)</t>
        </is>
      </c>
      <c r="C24" s="216">
        <f>VLOOKUP(C23,$Q$3:$R$6,2,0)</f>
        <v/>
      </c>
      <c r="D24" s="216">
        <f>VLOOKUP(D23,$Q$3:$R$6,2,0)</f>
        <v/>
      </c>
      <c r="E24" s="216">
        <f>VLOOKUP(E23,$Q$3:$R$6,2,0)</f>
        <v/>
      </c>
      <c r="F24" s="216">
        <f>VLOOKUP(F23,$Q$3:$R$6,2,0)</f>
        <v/>
      </c>
      <c r="G24" s="216">
        <f>VLOOKUP(G23,$Q$3:$R$6,2,0)</f>
        <v/>
      </c>
      <c r="H24" s="216">
        <f>VLOOKUP(H23,$Q$3:$R$6,2,0)</f>
        <v/>
      </c>
      <c r="I24" s="216">
        <f>VLOOKUP(I23,$Q$3:$R$6,2,0)</f>
        <v/>
      </c>
      <c r="J24" s="216">
        <f>VLOOKUP(J23,$Q$3:$R$6,2,0)</f>
        <v/>
      </c>
      <c r="K24" s="216">
        <f>VLOOKUP(K23,$Q$3:$R$6,2,0)</f>
        <v/>
      </c>
      <c r="L24" s="216">
        <f>VLOOKUP(L23,$Q$3:$R$6,2,0)</f>
        <v/>
      </c>
      <c r="M24" s="216">
        <f>VLOOKUP(M23,$Q$3:$R$6,2,0)</f>
        <v/>
      </c>
      <c r="N24" s="216">
        <f>VLOOKUP(N23,$Q$3:$R$6,2,0)</f>
        <v/>
      </c>
      <c r="O24" s="216">
        <f>VLOOKUP(O23,$Q$3:$R$6,2,0)</f>
        <v/>
      </c>
      <c r="P24" s="216">
        <f>VLOOKUP(P23,$Q$3:$R$6,2,0)</f>
        <v/>
      </c>
      <c r="Q24" s="216">
        <f>VLOOKUP(Q23,$Q$3:$R$6,2,0)</f>
        <v/>
      </c>
      <c r="R24" s="216">
        <f>VLOOKUP(R23,$Q$3:$R$6,2,0)</f>
        <v/>
      </c>
      <c r="S24" s="216">
        <f>VLOOKUP(S23,$Q$3:$R$6,2,0)</f>
        <v/>
      </c>
      <c r="T24" s="216">
        <f>VLOOKUP(T23,$Q$3:$R$6,2,0)</f>
        <v/>
      </c>
      <c r="U24" s="216">
        <f>VLOOKUP(U23,$Q$3:$R$6,2,0)</f>
        <v/>
      </c>
      <c r="V24" s="216">
        <f>VLOOKUP(V23,$Q$3:$R$6,2,0)</f>
        <v/>
      </c>
      <c r="W24" s="216">
        <f>VLOOKUP(W23,$Q$3:$R$6,2,0)</f>
        <v/>
      </c>
      <c r="X24" s="216">
        <f>VLOOKUP(X23,$Q$3:$R$6,2,0)</f>
        <v/>
      </c>
      <c r="Y24" s="216">
        <f>VLOOKUP(Y23,$Q$3:$R$6,2,0)</f>
        <v/>
      </c>
      <c r="Z24" s="216">
        <f>VLOOKUP(Z23,$Q$3:$R$6,2,0)</f>
        <v/>
      </c>
      <c r="AA24" s="216">
        <f>VLOOKUP(AA23,$Q$3:$R$6,2,0)</f>
        <v/>
      </c>
      <c r="AB24" s="216">
        <f>VLOOKUP(AB23,$Q$3:$R$6,2,0)</f>
        <v/>
      </c>
      <c r="AC24" s="216">
        <f>VLOOKUP(AC23,$Q$3:$R$6,2,0)</f>
        <v/>
      </c>
      <c r="AD24" s="216">
        <f>VLOOKUP(AD23,$Q$3:$R$6,2,0)</f>
        <v/>
      </c>
      <c r="AE24" s="216">
        <f>VLOOKUP(AE23,$Q$3:$R$6,2,0)</f>
        <v/>
      </c>
      <c r="AF24" s="216">
        <f>VLOOKUP(AF23,$Q$3:$R$6,2,0)</f>
        <v/>
      </c>
      <c r="AG24" s="216">
        <f>VLOOKUP(AG23,$Q$3:$R$6,2,0)</f>
        <v/>
      </c>
      <c r="AH24" s="216">
        <f>VLOOKUP(AH23,$Q$3:$R$6,2,0)</f>
        <v/>
      </c>
      <c r="AI24" s="216">
        <f>VLOOKUP(AI23,$Q$3:$R$6,2,0)</f>
        <v/>
      </c>
      <c r="AJ24" s="216">
        <f>VLOOKUP(AJ23,$Q$3:$R$6,2,0)</f>
        <v/>
      </c>
      <c r="AK24" s="216">
        <f>VLOOKUP(AK23,$Q$3:$R$6,2,0)</f>
        <v/>
      </c>
      <c r="AL24" s="216">
        <f>VLOOKUP(AL23,$Q$3:$R$6,2,0)</f>
        <v/>
      </c>
      <c r="AM24" s="216">
        <f>VLOOKUP(AM23,$Q$3:$R$6,2,0)</f>
        <v/>
      </c>
      <c r="AN24" s="216">
        <f>VLOOKUP(AN23,$Q$3:$R$6,2,0)</f>
        <v/>
      </c>
      <c r="AO24" s="216">
        <f>VLOOKUP(AO23,$Q$3:$R$6,2,0)</f>
        <v/>
      </c>
      <c r="AP24" s="216">
        <f>VLOOKUP(AP23,$Q$3:$R$6,2,0)</f>
        <v/>
      </c>
      <c r="AQ24" s="216">
        <f>VLOOKUP(AQ23,$Q$3:$R$6,2,0)</f>
        <v/>
      </c>
      <c r="AR24" s="216">
        <f>VLOOKUP(AR23,$Q$3:$R$6,2,0)</f>
        <v/>
      </c>
      <c r="AS24" s="216">
        <f>VLOOKUP(AS23,$Q$3:$R$6,2,0)</f>
        <v/>
      </c>
      <c r="AT24" s="216">
        <f>VLOOKUP(AT23,$Q$3:$R$6,2,0)</f>
        <v/>
      </c>
      <c r="AU24" s="216">
        <f>VLOOKUP(AU23,$Q$3:$R$6,2,0)</f>
        <v/>
      </c>
      <c r="AV24" s="216">
        <f>VLOOKUP(AV23,$Q$3:$R$6,2,0)</f>
        <v/>
      </c>
      <c r="AW24" s="216">
        <f>VLOOKUP(AW23,$Q$3:$R$6,2,0)</f>
        <v/>
      </c>
      <c r="AX24" s="216">
        <f>VLOOKUP(AX23,$Q$3:$R$6,2,0)</f>
        <v/>
      </c>
      <c r="AY24" s="216">
        <f>VLOOKUP(AY23,$Q$3:$R$6,2,0)</f>
        <v/>
      </c>
      <c r="AZ24" s="216">
        <f>VLOOKUP(AZ23,$Q$3:$R$6,2,0)</f>
        <v/>
      </c>
      <c r="BA24" s="216">
        <f>VLOOKUP(BA23,$Q$3:$R$6,2,0)</f>
        <v/>
      </c>
      <c r="BB24" s="216">
        <f>VLOOKUP(BB23,$Q$3:$R$6,2,0)</f>
        <v/>
      </c>
      <c r="BC24" s="216">
        <f>VLOOKUP(BC23,$Q$3:$R$6,2,0)</f>
        <v/>
      </c>
      <c r="BD24" s="217">
        <f>VLOOKUP(BD23,$Q$3:$R$6,2,0)</f>
        <v/>
      </c>
      <c r="BE24" s="217">
        <f>VLOOKUP(BE23,$Q$3:$R$6,2,0)</f>
        <v/>
      </c>
      <c r="BF24" s="217">
        <f>VLOOKUP(BF23,$Q$3:$R$6,2,0)</f>
        <v/>
      </c>
      <c r="BG24" s="217">
        <f>VLOOKUP(BG23,$Q$3:$R$6,2,0)</f>
        <v/>
      </c>
      <c r="BH24" s="217">
        <f>VLOOKUP(BH23,$Q$3:$R$6,2,0)</f>
        <v/>
      </c>
      <c r="BI24" s="217">
        <f>VLOOKUP(BI23,$Q$3:$R$6,2,0)</f>
        <v/>
      </c>
      <c r="BJ24" s="217">
        <f>VLOOKUP(BJ23,$Q$3:$R$6,2,0)</f>
        <v/>
      </c>
      <c r="BK24" s="217">
        <f>VLOOKUP(BK23,$Q$3:$R$6,2,0)</f>
        <v/>
      </c>
      <c r="BL24" s="217">
        <f>VLOOKUP(BL23,$Q$3:$R$6,2,0)</f>
        <v/>
      </c>
      <c r="BM24" s="217">
        <f>VLOOKUP(BM23,$Q$3:$R$6,2,0)</f>
        <v/>
      </c>
      <c r="BN24" s="217">
        <f>VLOOKUP(BN23,$Q$3:$R$6,2,0)</f>
        <v/>
      </c>
      <c r="BO24" s="217">
        <f>VLOOKUP(BO23,$Q$3:$R$6,2,0)</f>
        <v/>
      </c>
      <c r="BP24" s="217">
        <f>VLOOKUP(BP23,$Q$3:$R$6,2,0)</f>
        <v/>
      </c>
      <c r="BQ24" s="234" t="n"/>
      <c r="BR24" s="67" t="n"/>
    </row>
    <row r="25" ht="17" customHeight="1" s="165">
      <c r="A25" s="210" t="n"/>
      <c r="B25" s="57" t="inlineStr">
        <is>
          <t>Annual Travel Distance (km)</t>
        </is>
      </c>
      <c r="C25" s="235" t="n">
        <v>129168</v>
      </c>
      <c r="D25" s="235" t="n"/>
      <c r="E25" s="235" t="n"/>
      <c r="F25" s="235" t="n">
        <v>299520</v>
      </c>
      <c r="G25" s="235" t="n"/>
      <c r="H25" s="235" t="n"/>
      <c r="I25" s="235" t="n"/>
      <c r="J25" s="235" t="n">
        <v>11232</v>
      </c>
      <c r="K25" s="235" t="n"/>
      <c r="L25" s="235" t="n"/>
      <c r="M25" s="235" t="n"/>
      <c r="N25" s="235" t="n"/>
      <c r="O25" s="235" t="n"/>
      <c r="P25" s="235" t="n"/>
      <c r="Q25" s="235" t="n"/>
      <c r="R25" s="235" t="n"/>
      <c r="S25" s="235" t="n"/>
      <c r="T25" s="235" t="n"/>
      <c r="U25" s="235" t="n"/>
      <c r="V25" s="235" t="n"/>
      <c r="W25" s="235" t="n"/>
      <c r="X25" s="235" t="n"/>
      <c r="Y25" s="235" t="n"/>
      <c r="Z25" s="235" t="n"/>
      <c r="AA25" s="235" t="n"/>
      <c r="AB25" s="235" t="n"/>
      <c r="AC25" s="235" t="n"/>
      <c r="AD25" s="235" t="n"/>
      <c r="AE25" s="235" t="n"/>
      <c r="AF25" s="235" t="n"/>
      <c r="AG25" s="235" t="n"/>
      <c r="AH25" s="235" t="n"/>
      <c r="AI25" s="235" t="n"/>
      <c r="AJ25" s="235" t="n"/>
      <c r="AK25" s="235" t="n"/>
      <c r="AL25" s="235" t="n"/>
      <c r="AM25" s="235" t="n"/>
      <c r="AN25" s="235" t="n"/>
      <c r="AO25" s="235" t="n"/>
      <c r="AP25" s="235" t="n"/>
      <c r="AQ25" s="235" t="n"/>
      <c r="AR25" s="235" t="n"/>
      <c r="AS25" s="235" t="n"/>
      <c r="AT25" s="235" t="n"/>
      <c r="AU25" s="235" t="n"/>
      <c r="AV25" s="235" t="n"/>
      <c r="AW25" s="235" t="n"/>
      <c r="AX25" s="235" t="n">
        <v>18720</v>
      </c>
      <c r="AY25" s="235" t="n"/>
      <c r="AZ25" s="235" t="n"/>
      <c r="BA25" s="235" t="n"/>
      <c r="BB25" s="235" t="n"/>
      <c r="BC25" s="235" t="n"/>
      <c r="BD25" s="236" t="n"/>
      <c r="BE25" s="236" t="n"/>
      <c r="BF25" s="236" t="n"/>
      <c r="BG25" s="236" t="n"/>
      <c r="BH25" s="236" t="n"/>
      <c r="BI25" s="236" t="n"/>
      <c r="BJ25" s="236" t="n"/>
      <c r="BK25" s="236" t="n"/>
      <c r="BL25" s="236" t="n"/>
      <c r="BM25" s="236" t="n"/>
      <c r="BN25" s="236" t="n"/>
      <c r="BO25" s="236" t="n"/>
      <c r="BP25" s="236" t="n"/>
      <c r="BQ25" s="234" t="n"/>
      <c r="BR25" s="67" t="n"/>
    </row>
    <row r="26" ht="18.5" customHeight="1" s="165">
      <c r="A26" s="192" t="n"/>
      <c r="B26" s="77" t="inlineStr">
        <is>
          <t>Total Sold Weight (kg)</t>
        </is>
      </c>
      <c r="C26" s="237" t="n">
        <v>4481568</v>
      </c>
      <c r="D26" s="237" t="n"/>
      <c r="E26" s="237" t="n"/>
      <c r="F26" s="237" t="n">
        <v>9008064</v>
      </c>
      <c r="G26" s="237" t="n"/>
      <c r="H26" s="237" t="n"/>
      <c r="I26" s="237" t="n"/>
      <c r="J26" s="237" t="n">
        <v>898560</v>
      </c>
      <c r="K26" s="78" t="n"/>
      <c r="L26" s="78" t="n"/>
      <c r="M26" s="78" t="n"/>
      <c r="N26" s="78" t="n"/>
      <c r="O26" s="78" t="n"/>
      <c r="P26" s="78" t="n"/>
      <c r="Q26" s="78" t="n"/>
      <c r="R26" s="78" t="n"/>
      <c r="S26" s="78" t="n"/>
      <c r="T26" s="78" t="n"/>
      <c r="U26" s="78" t="n"/>
      <c r="V26" s="78" t="n"/>
      <c r="W26" s="78" t="n"/>
      <c r="X26" s="78" t="n"/>
      <c r="Y26" s="78" t="n"/>
      <c r="Z26" s="78" t="n"/>
      <c r="AA26" s="78" t="n"/>
      <c r="AB26" s="78" t="n"/>
      <c r="AC26" s="78" t="n"/>
      <c r="AD26" s="78" t="n"/>
      <c r="AE26" s="78" t="n"/>
      <c r="AF26" s="78" t="n"/>
      <c r="AG26" s="78" t="n"/>
      <c r="AH26" s="78" t="n"/>
      <c r="AI26" s="78" t="n"/>
      <c r="AJ26" s="78" t="n"/>
      <c r="AK26" s="78" t="n"/>
      <c r="AL26" s="78" t="n"/>
      <c r="AM26" s="78" t="n"/>
      <c r="AN26" s="78" t="n"/>
      <c r="AO26" s="78" t="n"/>
      <c r="AP26" s="78" t="n"/>
      <c r="AQ26" s="78" t="n"/>
      <c r="AR26" s="78" t="n"/>
      <c r="AS26" s="78" t="n"/>
      <c r="AT26" s="78" t="n"/>
      <c r="AU26" s="78" t="n"/>
      <c r="AV26" s="78" t="n"/>
      <c r="AW26" s="78" t="n"/>
      <c r="AX26" s="78" t="n">
        <v>2096640</v>
      </c>
      <c r="AY26" s="78" t="n"/>
      <c r="AZ26" s="78" t="n"/>
      <c r="BA26" s="78" t="n"/>
      <c r="BB26" s="78" t="n"/>
      <c r="BC26" s="78" t="n"/>
      <c r="BD26" s="79" t="n"/>
      <c r="BE26" s="79" t="n"/>
      <c r="BF26" s="79" t="n"/>
      <c r="BG26" s="79" t="n"/>
      <c r="BH26" s="79" t="n"/>
      <c r="BI26" s="79" t="n"/>
      <c r="BJ26" s="79" t="n"/>
      <c r="BK26" s="79" t="n"/>
      <c r="BL26" s="79" t="n"/>
      <c r="BM26" s="79" t="n"/>
      <c r="BN26" s="79" t="n"/>
      <c r="BO26" s="79" t="n"/>
      <c r="BP26" s="79" t="n"/>
      <c r="BQ26" s="198">
        <f t="array" ref="BQ26">SUMPRODUCT(C24:BP24,C25:BP25,C26:BP26/1000)</f>
        <v/>
      </c>
      <c r="BR26" s="199">
        <f>BQ26/1000</f>
        <v/>
      </c>
    </row>
    <row r="27" ht="18.5" customHeight="1" s="165">
      <c r="A27" s="152" t="inlineStr">
        <is>
          <t>Asan</t>
        </is>
      </c>
      <c r="B27" s="56" t="inlineStr">
        <is>
          <t>Transport Mode</t>
        </is>
      </c>
      <c r="C27" s="213" t="inlineStr">
        <is>
          <t>Rail</t>
        </is>
      </c>
      <c r="D27" s="213" t="inlineStr">
        <is>
          <t>Truck</t>
        </is>
      </c>
      <c r="E27" s="213" t="inlineStr">
        <is>
          <t>Truck</t>
        </is>
      </c>
      <c r="F27" s="213" t="inlineStr">
        <is>
          <t>Air</t>
        </is>
      </c>
      <c r="G27" s="213" t="inlineStr">
        <is>
          <t>Truck</t>
        </is>
      </c>
      <c r="H27" s="213" t="inlineStr">
        <is>
          <t>Truck</t>
        </is>
      </c>
      <c r="I27" s="213" t="inlineStr">
        <is>
          <t>Truck</t>
        </is>
      </c>
      <c r="J27" s="213" t="inlineStr">
        <is>
          <t>Truck</t>
        </is>
      </c>
      <c r="K27" s="213" t="inlineStr">
        <is>
          <t>Truck</t>
        </is>
      </c>
      <c r="L27" s="213" t="inlineStr">
        <is>
          <t>Ocean Vessel</t>
        </is>
      </c>
      <c r="M27" s="213" t="inlineStr">
        <is>
          <t>Truck</t>
        </is>
      </c>
      <c r="N27" s="213" t="inlineStr">
        <is>
          <t>Truck</t>
        </is>
      </c>
      <c r="O27" s="213" t="inlineStr">
        <is>
          <t>Truck</t>
        </is>
      </c>
      <c r="P27" s="213" t="inlineStr">
        <is>
          <t>Truck</t>
        </is>
      </c>
      <c r="Q27" s="213" t="inlineStr">
        <is>
          <t>Truck</t>
        </is>
      </c>
      <c r="R27" s="213" t="inlineStr">
        <is>
          <t>Truck</t>
        </is>
      </c>
      <c r="S27" s="213" t="inlineStr">
        <is>
          <t>Truck</t>
        </is>
      </c>
      <c r="T27" s="213" t="inlineStr">
        <is>
          <t>Truck</t>
        </is>
      </c>
      <c r="U27" s="213" t="inlineStr">
        <is>
          <t>Truck</t>
        </is>
      </c>
      <c r="V27" s="213" t="inlineStr">
        <is>
          <t>Truck</t>
        </is>
      </c>
      <c r="W27" s="213" t="inlineStr">
        <is>
          <t>Truck</t>
        </is>
      </c>
      <c r="X27" s="213" t="inlineStr">
        <is>
          <t>Truck</t>
        </is>
      </c>
      <c r="Y27" s="213" t="inlineStr">
        <is>
          <t>Truck</t>
        </is>
      </c>
      <c r="Z27" s="213" t="inlineStr">
        <is>
          <t>Truck</t>
        </is>
      </c>
      <c r="AA27" s="213" t="inlineStr">
        <is>
          <t>Truck</t>
        </is>
      </c>
      <c r="AB27" s="213" t="inlineStr">
        <is>
          <t>Truck</t>
        </is>
      </c>
      <c r="AC27" s="213" t="inlineStr">
        <is>
          <t>Truck</t>
        </is>
      </c>
      <c r="AD27" s="213" t="inlineStr">
        <is>
          <t>Truck</t>
        </is>
      </c>
      <c r="AE27" s="213" t="inlineStr">
        <is>
          <t>Truck</t>
        </is>
      </c>
      <c r="AF27" s="213" t="inlineStr">
        <is>
          <t>Truck</t>
        </is>
      </c>
      <c r="AG27" s="213" t="inlineStr">
        <is>
          <t>Truck</t>
        </is>
      </c>
      <c r="AH27" s="213" t="inlineStr">
        <is>
          <t>Truck</t>
        </is>
      </c>
      <c r="AI27" s="213" t="inlineStr">
        <is>
          <t>Truck</t>
        </is>
      </c>
      <c r="AJ27" s="213" t="inlineStr">
        <is>
          <t>Truck</t>
        </is>
      </c>
      <c r="AK27" s="213" t="inlineStr">
        <is>
          <t>Truck</t>
        </is>
      </c>
      <c r="AL27" s="213" t="inlineStr">
        <is>
          <t>Truck</t>
        </is>
      </c>
      <c r="AM27" s="213" t="inlineStr">
        <is>
          <t>Truck</t>
        </is>
      </c>
      <c r="AN27" s="213" t="inlineStr">
        <is>
          <t>Truck</t>
        </is>
      </c>
      <c r="AO27" s="213" t="inlineStr">
        <is>
          <t>Truck</t>
        </is>
      </c>
      <c r="AP27" s="213" t="inlineStr">
        <is>
          <t>Truck</t>
        </is>
      </c>
      <c r="AQ27" s="213" t="inlineStr">
        <is>
          <t>Truck</t>
        </is>
      </c>
      <c r="AR27" s="213" t="inlineStr">
        <is>
          <t>Truck</t>
        </is>
      </c>
      <c r="AS27" s="213" t="inlineStr">
        <is>
          <t>Truck</t>
        </is>
      </c>
      <c r="AT27" s="213" t="inlineStr">
        <is>
          <t>Truck</t>
        </is>
      </c>
      <c r="AU27" s="213" t="inlineStr">
        <is>
          <t>Truck</t>
        </is>
      </c>
      <c r="AV27" s="213" t="inlineStr">
        <is>
          <t>Truck</t>
        </is>
      </c>
      <c r="AW27" s="213" t="inlineStr">
        <is>
          <t>Truck</t>
        </is>
      </c>
      <c r="AX27" s="213" t="inlineStr">
        <is>
          <t>Truck</t>
        </is>
      </c>
      <c r="AY27" s="213" t="inlineStr">
        <is>
          <t>Truck</t>
        </is>
      </c>
      <c r="AZ27" s="213" t="inlineStr">
        <is>
          <t>Truck</t>
        </is>
      </c>
      <c r="BA27" s="213" t="inlineStr">
        <is>
          <t>Truck</t>
        </is>
      </c>
      <c r="BB27" s="213" t="inlineStr">
        <is>
          <t>Truck</t>
        </is>
      </c>
      <c r="BC27" s="213" t="inlineStr">
        <is>
          <t>Truck</t>
        </is>
      </c>
      <c r="BD27" s="214" t="inlineStr">
        <is>
          <t>Truck</t>
        </is>
      </c>
      <c r="BE27" s="214" t="inlineStr">
        <is>
          <t>Truck</t>
        </is>
      </c>
      <c r="BF27" s="214" t="inlineStr">
        <is>
          <t>Truck</t>
        </is>
      </c>
      <c r="BG27" s="214" t="inlineStr">
        <is>
          <t>Truck</t>
        </is>
      </c>
      <c r="BH27" s="214" t="inlineStr">
        <is>
          <t>Truck</t>
        </is>
      </c>
      <c r="BI27" s="214" t="inlineStr">
        <is>
          <t>Truck</t>
        </is>
      </c>
      <c r="BJ27" s="214" t="inlineStr">
        <is>
          <t>Truck</t>
        </is>
      </c>
      <c r="BK27" s="214" t="inlineStr">
        <is>
          <t>Truck</t>
        </is>
      </c>
      <c r="BL27" s="214" t="inlineStr">
        <is>
          <t>Truck</t>
        </is>
      </c>
      <c r="BM27" s="214" t="inlineStr">
        <is>
          <t>Truck</t>
        </is>
      </c>
      <c r="BN27" s="214" t="inlineStr">
        <is>
          <t>Truck</t>
        </is>
      </c>
      <c r="BO27" s="214" t="inlineStr">
        <is>
          <t>Truck</t>
        </is>
      </c>
      <c r="BP27" s="214" t="inlineStr">
        <is>
          <t>Truck</t>
        </is>
      </c>
      <c r="BQ27" s="70" t="n"/>
      <c r="BR27" s="67" t="n"/>
    </row>
    <row r="28" ht="17" customHeight="1" s="165">
      <c r="A28" s="210" t="n"/>
      <c r="B28" s="152" t="inlineStr">
        <is>
          <t>Emission Factor (Auto)</t>
        </is>
      </c>
      <c r="C28" s="216">
        <f>VLOOKUP(C27,$Q$3:$R$6,2,0)</f>
        <v/>
      </c>
      <c r="D28" s="216">
        <f>VLOOKUP(D27,$Q$3:$R$6,2,0)</f>
        <v/>
      </c>
      <c r="E28" s="216">
        <f>VLOOKUP(E27,$Q$3:$R$6,2,0)</f>
        <v/>
      </c>
      <c r="F28" s="216">
        <f>VLOOKUP(F27,$Q$3:$R$6,2,0)</f>
        <v/>
      </c>
      <c r="G28" s="216">
        <f>VLOOKUP(G27,$Q$3:$R$6,2,0)</f>
        <v/>
      </c>
      <c r="H28" s="216">
        <f>VLOOKUP(H27,$Q$3:$R$6,2,0)</f>
        <v/>
      </c>
      <c r="I28" s="216">
        <f>VLOOKUP(I27,$Q$3:$R$6,2,0)</f>
        <v/>
      </c>
      <c r="J28" s="216">
        <f>VLOOKUP(J27,$Q$3:$R$6,2,0)</f>
        <v/>
      </c>
      <c r="K28" s="216">
        <f>VLOOKUP(K27,$Q$3:$R$6,2,0)</f>
        <v/>
      </c>
      <c r="L28" s="216">
        <f>VLOOKUP(L27,$Q$3:$R$6,2,0)</f>
        <v/>
      </c>
      <c r="M28" s="216">
        <f>VLOOKUP(M27,$Q$3:$R$6,2,0)</f>
        <v/>
      </c>
      <c r="N28" s="216">
        <f>VLOOKUP(N27,$Q$3:$R$6,2,0)</f>
        <v/>
      </c>
      <c r="O28" s="216">
        <f>VLOOKUP(O27,$Q$3:$R$6,2,0)</f>
        <v/>
      </c>
      <c r="P28" s="216">
        <f>VLOOKUP(P27,$Q$3:$R$6,2,0)</f>
        <v/>
      </c>
      <c r="Q28" s="216">
        <f>VLOOKUP(Q27,$Q$3:$R$6,2,0)</f>
        <v/>
      </c>
      <c r="R28" s="216">
        <f>VLOOKUP(R27,$Q$3:$R$6,2,0)</f>
        <v/>
      </c>
      <c r="S28" s="216">
        <f>VLOOKUP(S27,$Q$3:$R$6,2,0)</f>
        <v/>
      </c>
      <c r="T28" s="216">
        <f>VLOOKUP(T27,$Q$3:$R$6,2,0)</f>
        <v/>
      </c>
      <c r="U28" s="216">
        <f>VLOOKUP(U27,$Q$3:$R$6,2,0)</f>
        <v/>
      </c>
      <c r="V28" s="216">
        <f>VLOOKUP(V27,$Q$3:$R$6,2,0)</f>
        <v/>
      </c>
      <c r="W28" s="216">
        <f>VLOOKUP(W27,$Q$3:$R$6,2,0)</f>
        <v/>
      </c>
      <c r="X28" s="216">
        <f>VLOOKUP(X27,$Q$3:$R$6,2,0)</f>
        <v/>
      </c>
      <c r="Y28" s="216">
        <f>VLOOKUP(Y27,$Q$3:$R$6,2,0)</f>
        <v/>
      </c>
      <c r="Z28" s="216">
        <f>VLOOKUP(Z27,$Q$3:$R$6,2,0)</f>
        <v/>
      </c>
      <c r="AA28" s="216">
        <f>VLOOKUP(AA27,$Q$3:$R$6,2,0)</f>
        <v/>
      </c>
      <c r="AB28" s="216">
        <f>VLOOKUP(AB27,$Q$3:$R$6,2,0)</f>
        <v/>
      </c>
      <c r="AC28" s="216">
        <f>VLOOKUP(AC27,$Q$3:$R$6,2,0)</f>
        <v/>
      </c>
      <c r="AD28" s="216">
        <f>VLOOKUP(AD27,$Q$3:$R$6,2,0)</f>
        <v/>
      </c>
      <c r="AE28" s="216">
        <f>VLOOKUP(AE27,$Q$3:$R$6,2,0)</f>
        <v/>
      </c>
      <c r="AF28" s="216">
        <f>VLOOKUP(AF27,$Q$3:$R$6,2,0)</f>
        <v/>
      </c>
      <c r="AG28" s="216">
        <f>VLOOKUP(AG27,$Q$3:$R$6,2,0)</f>
        <v/>
      </c>
      <c r="AH28" s="216">
        <f>VLOOKUP(AH27,$Q$3:$R$6,2,0)</f>
        <v/>
      </c>
      <c r="AI28" s="216">
        <f>VLOOKUP(AI27,$Q$3:$R$6,2,0)</f>
        <v/>
      </c>
      <c r="AJ28" s="216">
        <f>VLOOKUP(AJ27,$Q$3:$R$6,2,0)</f>
        <v/>
      </c>
      <c r="AK28" s="216">
        <f>VLOOKUP(AK27,$Q$3:$R$6,2,0)</f>
        <v/>
      </c>
      <c r="AL28" s="216">
        <f>VLOOKUP(AL27,$Q$3:$R$6,2,0)</f>
        <v/>
      </c>
      <c r="AM28" s="216">
        <f>VLOOKUP(AM27,$Q$3:$R$6,2,0)</f>
        <v/>
      </c>
      <c r="AN28" s="216">
        <f>VLOOKUP(AN27,$Q$3:$R$6,2,0)</f>
        <v/>
      </c>
      <c r="AO28" s="216">
        <f>VLOOKUP(AO27,$Q$3:$R$6,2,0)</f>
        <v/>
      </c>
      <c r="AP28" s="216">
        <f>VLOOKUP(AP27,$Q$3:$R$6,2,0)</f>
        <v/>
      </c>
      <c r="AQ28" s="216">
        <f>VLOOKUP(AQ27,$Q$3:$R$6,2,0)</f>
        <v/>
      </c>
      <c r="AR28" s="216">
        <f>VLOOKUP(AR27,$Q$3:$R$6,2,0)</f>
        <v/>
      </c>
      <c r="AS28" s="216">
        <f>VLOOKUP(AS27,$Q$3:$R$6,2,0)</f>
        <v/>
      </c>
      <c r="AT28" s="216">
        <f>VLOOKUP(AT27,$Q$3:$R$6,2,0)</f>
        <v/>
      </c>
      <c r="AU28" s="216">
        <f>VLOOKUP(AU27,$Q$3:$R$6,2,0)</f>
        <v/>
      </c>
      <c r="AV28" s="216">
        <f>VLOOKUP(AV27,$Q$3:$R$6,2,0)</f>
        <v/>
      </c>
      <c r="AW28" s="216">
        <f>VLOOKUP(AW27,$Q$3:$R$6,2,0)</f>
        <v/>
      </c>
      <c r="AX28" s="216">
        <f>VLOOKUP(AX27,$Q$3:$R$6,2,0)</f>
        <v/>
      </c>
      <c r="AY28" s="216">
        <f>VLOOKUP(AY27,$Q$3:$R$6,2,0)</f>
        <v/>
      </c>
      <c r="AZ28" s="216">
        <f>VLOOKUP(AZ27,$Q$3:$R$6,2,0)</f>
        <v/>
      </c>
      <c r="BA28" s="216">
        <f>VLOOKUP(BA27,$Q$3:$R$6,2,0)</f>
        <v/>
      </c>
      <c r="BB28" s="216">
        <f>VLOOKUP(BB27,$Q$3:$R$6,2,0)</f>
        <v/>
      </c>
      <c r="BC28" s="216">
        <f>VLOOKUP(BC27,$Q$3:$R$6,2,0)</f>
        <v/>
      </c>
      <c r="BD28" s="217">
        <f>VLOOKUP(BD27,$Q$3:$R$6,2,0)</f>
        <v/>
      </c>
      <c r="BE28" s="217">
        <f>VLOOKUP(BE27,$Q$3:$R$6,2,0)</f>
        <v/>
      </c>
      <c r="BF28" s="217">
        <f>VLOOKUP(BF27,$Q$3:$R$6,2,0)</f>
        <v/>
      </c>
      <c r="BG28" s="217">
        <f>VLOOKUP(BG27,$Q$3:$R$6,2,0)</f>
        <v/>
      </c>
      <c r="BH28" s="217">
        <f>VLOOKUP(BH27,$Q$3:$R$6,2,0)</f>
        <v/>
      </c>
      <c r="BI28" s="217">
        <f>VLOOKUP(BI27,$Q$3:$R$6,2,0)</f>
        <v/>
      </c>
      <c r="BJ28" s="217">
        <f>VLOOKUP(BJ27,$Q$3:$R$6,2,0)</f>
        <v/>
      </c>
      <c r="BK28" s="217">
        <f>VLOOKUP(BK27,$Q$3:$R$6,2,0)</f>
        <v/>
      </c>
      <c r="BL28" s="217">
        <f>VLOOKUP(BL27,$Q$3:$R$6,2,0)</f>
        <v/>
      </c>
      <c r="BM28" s="217">
        <f>VLOOKUP(BM27,$Q$3:$R$6,2,0)</f>
        <v/>
      </c>
      <c r="BN28" s="217">
        <f>VLOOKUP(BN27,$Q$3:$R$6,2,0)</f>
        <v/>
      </c>
      <c r="BO28" s="217">
        <f>VLOOKUP(BO27,$Q$3:$R$6,2,0)</f>
        <v/>
      </c>
      <c r="BP28" s="217">
        <f>VLOOKUP(BP27,$Q$3:$R$6,2,0)</f>
        <v/>
      </c>
      <c r="BQ28" s="234" t="n"/>
      <c r="BR28" s="67" t="n"/>
    </row>
    <row r="29" ht="17" customHeight="1" s="165">
      <c r="A29" s="210" t="n"/>
      <c r="B29" s="57" t="inlineStr">
        <is>
          <t>Annual Travel Distance (km)</t>
        </is>
      </c>
      <c r="C29" s="235" t="n">
        <v>792</v>
      </c>
      <c r="D29" s="235" t="n">
        <v>16416</v>
      </c>
      <c r="E29" s="235" t="n">
        <v>125712</v>
      </c>
      <c r="F29" s="235" t="n"/>
      <c r="G29" s="235" t="n">
        <v>324</v>
      </c>
      <c r="H29" s="235" t="n">
        <v>5940</v>
      </c>
      <c r="I29" s="235" t="n"/>
      <c r="J29" s="235" t="n">
        <v>9184</v>
      </c>
      <c r="K29" s="235" t="n"/>
      <c r="L29" s="235" t="n"/>
      <c r="M29" s="235" t="n">
        <v>741</v>
      </c>
      <c r="N29" s="235" t="n"/>
      <c r="O29" s="235" t="n"/>
      <c r="P29" s="235" t="n"/>
      <c r="Q29" s="235" t="n"/>
      <c r="R29" s="235" t="n"/>
      <c r="S29" s="235" t="n"/>
      <c r="T29" s="235" t="n"/>
      <c r="U29" s="235" t="n"/>
      <c r="V29" s="235" t="n"/>
      <c r="W29" s="235" t="n"/>
      <c r="X29" s="235" t="n"/>
      <c r="Y29" s="235" t="n"/>
      <c r="Z29" s="235" t="n"/>
      <c r="AA29" s="235" t="n"/>
      <c r="AB29" s="235" t="n"/>
      <c r="AC29" s="235" t="n"/>
      <c r="AD29" s="235" t="n"/>
      <c r="AE29" s="235" t="n"/>
      <c r="AF29" s="235" t="n"/>
      <c r="AG29" s="235" t="n"/>
      <c r="AH29" s="235" t="n"/>
      <c r="AI29" s="235" t="n"/>
      <c r="AJ29" s="235" t="n"/>
      <c r="AK29" s="235" t="n"/>
      <c r="AL29" s="235" t="n"/>
      <c r="AM29" s="235" t="n"/>
      <c r="AN29" s="235" t="n"/>
      <c r="AO29" s="235" t="n"/>
      <c r="AP29" s="235" t="n"/>
      <c r="AQ29" s="235" t="n"/>
      <c r="AR29" s="235" t="n"/>
      <c r="AS29" s="235" t="n"/>
      <c r="AT29" s="235" t="n"/>
      <c r="AU29" s="235" t="n"/>
      <c r="AV29" s="235" t="n"/>
      <c r="AW29" s="235" t="n"/>
      <c r="AX29" s="235" t="n"/>
      <c r="AY29" s="235" t="n">
        <v>2412</v>
      </c>
      <c r="AZ29" s="235" t="n"/>
      <c r="BA29" s="235" t="n"/>
      <c r="BB29" s="235" t="n"/>
      <c r="BC29" s="235" t="n"/>
      <c r="BD29" s="236" t="n"/>
      <c r="BE29" s="236" t="n"/>
      <c r="BF29" s="236" t="n"/>
      <c r="BG29" s="236" t="n"/>
      <c r="BH29" s="236" t="n"/>
      <c r="BI29" s="236" t="n"/>
      <c r="BJ29" s="236" t="n"/>
      <c r="BK29" s="236" t="n"/>
      <c r="BL29" s="236" t="n"/>
      <c r="BM29" s="236" t="n"/>
      <c r="BN29" s="236" t="n"/>
      <c r="BO29" s="236" t="n"/>
      <c r="BP29" s="236" t="n"/>
      <c r="BQ29" s="234" t="n"/>
      <c r="BR29" s="67" t="n"/>
    </row>
    <row r="30" ht="18.5" customHeight="1" s="165">
      <c r="A30" s="192" t="n"/>
      <c r="B30" s="77" t="inlineStr">
        <is>
          <t>Total Sold Weight (kg)</t>
        </is>
      </c>
      <c r="C30" s="78" t="n">
        <v>81360</v>
      </c>
      <c r="D30" s="78" t="n">
        <v>3778131</v>
      </c>
      <c r="E30" s="78" t="n">
        <v>9359448</v>
      </c>
      <c r="F30" s="78" t="n"/>
      <c r="G30" s="78" t="n">
        <v>6937</v>
      </c>
      <c r="H30" s="78" t="n">
        <v>42381</v>
      </c>
      <c r="I30" s="78" t="n"/>
      <c r="J30" s="78" t="n">
        <v>507518</v>
      </c>
      <c r="K30" s="78" t="n"/>
      <c r="L30" s="78" t="n"/>
      <c r="M30" s="78" t="n">
        <v>8114.400000000001</v>
      </c>
      <c r="N30" s="78" t="n"/>
      <c r="O30" s="78" t="n"/>
      <c r="P30" s="78" t="n"/>
      <c r="Q30" s="78" t="n"/>
      <c r="R30" s="78" t="n"/>
      <c r="S30" s="78" t="n"/>
      <c r="T30" s="78" t="n"/>
      <c r="U30" s="78" t="n"/>
      <c r="V30" s="78" t="n"/>
      <c r="W30" s="78" t="n"/>
      <c r="X30" s="78" t="n"/>
      <c r="Y30" s="78" t="n"/>
      <c r="Z30" s="78" t="n"/>
      <c r="AA30" s="78" t="n"/>
      <c r="AB30" s="78" t="n"/>
      <c r="AC30" s="78" t="n"/>
      <c r="AD30" s="78" t="n"/>
      <c r="AE30" s="78" t="n"/>
      <c r="AF30" s="78" t="n"/>
      <c r="AG30" s="78" t="n"/>
      <c r="AH30" s="78" t="n"/>
      <c r="AI30" s="78" t="n"/>
      <c r="AJ30" s="78" t="n"/>
      <c r="AK30" s="78" t="n"/>
      <c r="AL30" s="78" t="n"/>
      <c r="AM30" s="78" t="n"/>
      <c r="AN30" s="78" t="n"/>
      <c r="AO30" s="78" t="n"/>
      <c r="AP30" s="78" t="n"/>
      <c r="AQ30" s="78" t="n"/>
      <c r="AR30" s="78" t="n"/>
      <c r="AS30" s="78" t="n"/>
      <c r="AT30" s="78" t="n"/>
      <c r="AU30" s="78" t="n"/>
      <c r="AV30" s="78" t="n"/>
      <c r="AW30" s="78" t="n"/>
      <c r="AX30" s="78" t="n"/>
      <c r="AY30" s="78" t="n">
        <v>46948</v>
      </c>
      <c r="AZ30" s="78" t="n"/>
      <c r="BA30" s="78" t="n"/>
      <c r="BB30" s="78" t="n"/>
      <c r="BC30" s="78" t="n"/>
      <c r="BD30" s="79" t="n"/>
      <c r="BE30" s="79" t="n"/>
      <c r="BF30" s="79" t="n"/>
      <c r="BG30" s="79" t="n"/>
      <c r="BH30" s="79" t="n"/>
      <c r="BI30" s="79" t="n"/>
      <c r="BJ30" s="79" t="n"/>
      <c r="BK30" s="79" t="n"/>
      <c r="BL30" s="79" t="n"/>
      <c r="BM30" s="79" t="n"/>
      <c r="BN30" s="79" t="n"/>
      <c r="BO30" s="79" t="n"/>
      <c r="BP30" s="79" t="n"/>
      <c r="BQ30" s="198">
        <f t="array" ref="BQ30">SUMPRODUCT(C28:BP28,C29:BP29,C30:BP30/1000)</f>
        <v/>
      </c>
      <c r="BR30" s="199">
        <f>BQ30/1000</f>
        <v/>
      </c>
    </row>
    <row r="31" ht="18.5" customHeight="1" s="165">
      <c r="A31" s="152" t="inlineStr">
        <is>
          <t>Gwangju</t>
        </is>
      </c>
      <c r="B31" s="56" t="inlineStr">
        <is>
          <t>Transport Mode</t>
        </is>
      </c>
      <c r="C31" s="213" t="inlineStr">
        <is>
          <t>Rail</t>
        </is>
      </c>
      <c r="D31" s="213" t="inlineStr">
        <is>
          <t>Truck</t>
        </is>
      </c>
      <c r="E31" s="213" t="inlineStr">
        <is>
          <t>Truck</t>
        </is>
      </c>
      <c r="F31" s="213" t="inlineStr">
        <is>
          <t>Air</t>
        </is>
      </c>
      <c r="G31" s="213" t="inlineStr">
        <is>
          <t>Truck</t>
        </is>
      </c>
      <c r="H31" s="213" t="inlineStr">
        <is>
          <t>Truck</t>
        </is>
      </c>
      <c r="I31" s="213" t="inlineStr">
        <is>
          <t>Truck</t>
        </is>
      </c>
      <c r="J31" s="213" t="inlineStr">
        <is>
          <t>Truck</t>
        </is>
      </c>
      <c r="K31" s="213" t="inlineStr">
        <is>
          <t>Truck</t>
        </is>
      </c>
      <c r="L31" s="213" t="inlineStr">
        <is>
          <t>Ocean Vessel</t>
        </is>
      </c>
      <c r="M31" s="213" t="inlineStr">
        <is>
          <t>Truck</t>
        </is>
      </c>
      <c r="N31" s="213" t="inlineStr">
        <is>
          <t>Truck</t>
        </is>
      </c>
      <c r="O31" s="213" t="inlineStr">
        <is>
          <t>Truck</t>
        </is>
      </c>
      <c r="P31" s="213" t="inlineStr">
        <is>
          <t>Truck</t>
        </is>
      </c>
      <c r="Q31" s="213" t="inlineStr">
        <is>
          <t>Truck</t>
        </is>
      </c>
      <c r="R31" s="213" t="inlineStr">
        <is>
          <t>Truck</t>
        </is>
      </c>
      <c r="S31" s="213" t="inlineStr">
        <is>
          <t>Truck</t>
        </is>
      </c>
      <c r="T31" s="213" t="inlineStr">
        <is>
          <t>Truck</t>
        </is>
      </c>
      <c r="U31" s="213" t="inlineStr">
        <is>
          <t>Truck</t>
        </is>
      </c>
      <c r="V31" s="213" t="inlineStr">
        <is>
          <t>Truck</t>
        </is>
      </c>
      <c r="W31" s="213" t="inlineStr">
        <is>
          <t>Truck</t>
        </is>
      </c>
      <c r="X31" s="213" t="inlineStr">
        <is>
          <t>Truck</t>
        </is>
      </c>
      <c r="Y31" s="213" t="inlineStr">
        <is>
          <t>Truck</t>
        </is>
      </c>
      <c r="Z31" s="213" t="inlineStr">
        <is>
          <t>Truck</t>
        </is>
      </c>
      <c r="AA31" s="213" t="inlineStr">
        <is>
          <t>Truck</t>
        </is>
      </c>
      <c r="AB31" s="213" t="inlineStr">
        <is>
          <t>Truck</t>
        </is>
      </c>
      <c r="AC31" s="213" t="inlineStr">
        <is>
          <t>Truck</t>
        </is>
      </c>
      <c r="AD31" s="213" t="inlineStr">
        <is>
          <t>Truck</t>
        </is>
      </c>
      <c r="AE31" s="213" t="inlineStr">
        <is>
          <t>Truck</t>
        </is>
      </c>
      <c r="AF31" s="213" t="inlineStr">
        <is>
          <t>Truck</t>
        </is>
      </c>
      <c r="AG31" s="213" t="inlineStr">
        <is>
          <t>Truck</t>
        </is>
      </c>
      <c r="AH31" s="213" t="inlineStr">
        <is>
          <t>Truck</t>
        </is>
      </c>
      <c r="AI31" s="213" t="inlineStr">
        <is>
          <t>Truck</t>
        </is>
      </c>
      <c r="AJ31" s="213" t="inlineStr">
        <is>
          <t>Truck</t>
        </is>
      </c>
      <c r="AK31" s="213" t="inlineStr">
        <is>
          <t>Truck</t>
        </is>
      </c>
      <c r="AL31" s="213" t="inlineStr">
        <is>
          <t>Truck</t>
        </is>
      </c>
      <c r="AM31" s="213" t="inlineStr">
        <is>
          <t>Truck</t>
        </is>
      </c>
      <c r="AN31" s="213" t="inlineStr">
        <is>
          <t>Truck</t>
        </is>
      </c>
      <c r="AO31" s="213" t="inlineStr">
        <is>
          <t>Truck</t>
        </is>
      </c>
      <c r="AP31" s="213" t="inlineStr">
        <is>
          <t>Truck</t>
        </is>
      </c>
      <c r="AQ31" s="213" t="inlineStr">
        <is>
          <t>Truck</t>
        </is>
      </c>
      <c r="AR31" s="213" t="inlineStr">
        <is>
          <t>Truck</t>
        </is>
      </c>
      <c r="AS31" s="213" t="inlineStr">
        <is>
          <t>Truck</t>
        </is>
      </c>
      <c r="AT31" s="213" t="inlineStr">
        <is>
          <t>Truck</t>
        </is>
      </c>
      <c r="AU31" s="213" t="inlineStr">
        <is>
          <t>Truck</t>
        </is>
      </c>
      <c r="AV31" s="213" t="inlineStr">
        <is>
          <t>Truck</t>
        </is>
      </c>
      <c r="AW31" s="213" t="inlineStr">
        <is>
          <t>Truck</t>
        </is>
      </c>
      <c r="AX31" s="213" t="inlineStr">
        <is>
          <t>Truck</t>
        </is>
      </c>
      <c r="AY31" s="213" t="inlineStr">
        <is>
          <t>Truck</t>
        </is>
      </c>
      <c r="AZ31" s="213" t="inlineStr">
        <is>
          <t>Truck</t>
        </is>
      </c>
      <c r="BA31" s="213" t="inlineStr">
        <is>
          <t>Truck</t>
        </is>
      </c>
      <c r="BB31" s="213" t="inlineStr">
        <is>
          <t>Truck</t>
        </is>
      </c>
      <c r="BC31" s="213" t="inlineStr">
        <is>
          <t>Truck</t>
        </is>
      </c>
      <c r="BD31" s="214" t="inlineStr">
        <is>
          <t>Truck</t>
        </is>
      </c>
      <c r="BE31" s="214" t="inlineStr">
        <is>
          <t>Truck</t>
        </is>
      </c>
      <c r="BF31" s="214" t="inlineStr">
        <is>
          <t>Truck</t>
        </is>
      </c>
      <c r="BG31" s="214" t="inlineStr">
        <is>
          <t>Truck</t>
        </is>
      </c>
      <c r="BH31" s="214" t="inlineStr">
        <is>
          <t>Truck</t>
        </is>
      </c>
      <c r="BI31" s="214" t="inlineStr">
        <is>
          <t>Truck</t>
        </is>
      </c>
      <c r="BJ31" s="214" t="inlineStr">
        <is>
          <t>Truck</t>
        </is>
      </c>
      <c r="BK31" s="214" t="inlineStr">
        <is>
          <t>Truck</t>
        </is>
      </c>
      <c r="BL31" s="214" t="inlineStr">
        <is>
          <t>Truck</t>
        </is>
      </c>
      <c r="BM31" s="214" t="inlineStr">
        <is>
          <t>Truck</t>
        </is>
      </c>
      <c r="BN31" s="214" t="inlineStr">
        <is>
          <t>Truck</t>
        </is>
      </c>
      <c r="BO31" s="214" t="inlineStr">
        <is>
          <t>Truck</t>
        </is>
      </c>
      <c r="BP31" s="214" t="inlineStr">
        <is>
          <t>Truck</t>
        </is>
      </c>
      <c r="BQ31" s="70" t="n"/>
      <c r="BR31" s="67" t="n"/>
    </row>
    <row r="32" ht="17" customHeight="1" s="165">
      <c r="A32" s="210" t="n"/>
      <c r="B32" s="152" t="inlineStr">
        <is>
          <t>Emission Factor (Auto)</t>
        </is>
      </c>
      <c r="C32" s="216">
        <f>VLOOKUP(C31,$Q$3:$R$6,2,0)</f>
        <v/>
      </c>
      <c r="D32" s="216">
        <f>VLOOKUP(D31,$Q$3:$R$6,2,0)</f>
        <v/>
      </c>
      <c r="E32" s="216">
        <f>VLOOKUP(E31,$Q$3:$R$6,2,0)</f>
        <v/>
      </c>
      <c r="F32" s="216">
        <f>VLOOKUP(F31,$Q$3:$R$6,2,0)</f>
        <v/>
      </c>
      <c r="G32" s="216">
        <f>VLOOKUP(G31,$Q$3:$R$6,2,0)</f>
        <v/>
      </c>
      <c r="H32" s="216">
        <f>VLOOKUP(H31,$Q$3:$R$6,2,0)</f>
        <v/>
      </c>
      <c r="I32" s="216">
        <f>VLOOKUP(I31,$Q$3:$R$6,2,0)</f>
        <v/>
      </c>
      <c r="J32" s="216">
        <f>VLOOKUP(J31,$Q$3:$R$6,2,0)</f>
        <v/>
      </c>
      <c r="K32" s="216">
        <f>VLOOKUP(K31,$Q$3:$R$6,2,0)</f>
        <v/>
      </c>
      <c r="L32" s="216">
        <f>VLOOKUP(L31,$Q$3:$R$6,2,0)</f>
        <v/>
      </c>
      <c r="M32" s="216">
        <f>VLOOKUP(M31,$Q$3:$R$6,2,0)</f>
        <v/>
      </c>
      <c r="N32" s="216">
        <f>VLOOKUP(N31,$Q$3:$R$6,2,0)</f>
        <v/>
      </c>
      <c r="O32" s="216">
        <f>VLOOKUP(O31,$Q$3:$R$6,2,0)</f>
        <v/>
      </c>
      <c r="P32" s="216">
        <f>VLOOKUP(P31,$Q$3:$R$6,2,0)</f>
        <v/>
      </c>
      <c r="Q32" s="216">
        <f>VLOOKUP(Q31,$Q$3:$R$6,2,0)</f>
        <v/>
      </c>
      <c r="R32" s="216">
        <f>VLOOKUP(R31,$Q$3:$R$6,2,0)</f>
        <v/>
      </c>
      <c r="S32" s="216">
        <f>VLOOKUP(S31,$Q$3:$R$6,2,0)</f>
        <v/>
      </c>
      <c r="T32" s="216">
        <f>VLOOKUP(T31,$Q$3:$R$6,2,0)</f>
        <v/>
      </c>
      <c r="U32" s="216">
        <f>VLOOKUP(U31,$Q$3:$R$6,2,0)</f>
        <v/>
      </c>
      <c r="V32" s="216">
        <f>VLOOKUP(V31,$Q$3:$R$6,2,0)</f>
        <v/>
      </c>
      <c r="W32" s="216">
        <f>VLOOKUP(W31,$Q$3:$R$6,2,0)</f>
        <v/>
      </c>
      <c r="X32" s="216">
        <f>VLOOKUP(X31,$Q$3:$R$6,2,0)</f>
        <v/>
      </c>
      <c r="Y32" s="216">
        <f>VLOOKUP(Y31,$Q$3:$R$6,2,0)</f>
        <v/>
      </c>
      <c r="Z32" s="216">
        <f>VLOOKUP(Z31,$Q$3:$R$6,2,0)</f>
        <v/>
      </c>
      <c r="AA32" s="216">
        <f>VLOOKUP(AA31,$Q$3:$R$6,2,0)</f>
        <v/>
      </c>
      <c r="AB32" s="216">
        <f>VLOOKUP(AB31,$Q$3:$R$6,2,0)</f>
        <v/>
      </c>
      <c r="AC32" s="216">
        <f>VLOOKUP(AC31,$Q$3:$R$6,2,0)</f>
        <v/>
      </c>
      <c r="AD32" s="216">
        <f>VLOOKUP(AD31,$Q$3:$R$6,2,0)</f>
        <v/>
      </c>
      <c r="AE32" s="216">
        <f>VLOOKUP(AE31,$Q$3:$R$6,2,0)</f>
        <v/>
      </c>
      <c r="AF32" s="216">
        <f>VLOOKUP(AF31,$Q$3:$R$6,2,0)</f>
        <v/>
      </c>
      <c r="AG32" s="216">
        <f>VLOOKUP(AG31,$Q$3:$R$6,2,0)</f>
        <v/>
      </c>
      <c r="AH32" s="216">
        <f>VLOOKUP(AH31,$Q$3:$R$6,2,0)</f>
        <v/>
      </c>
      <c r="AI32" s="216">
        <f>VLOOKUP(AI31,$Q$3:$R$6,2,0)</f>
        <v/>
      </c>
      <c r="AJ32" s="216">
        <f>VLOOKUP(AJ31,$Q$3:$R$6,2,0)</f>
        <v/>
      </c>
      <c r="AK32" s="216">
        <f>VLOOKUP(AK31,$Q$3:$R$6,2,0)</f>
        <v/>
      </c>
      <c r="AL32" s="216">
        <f>VLOOKUP(AL31,$Q$3:$R$6,2,0)</f>
        <v/>
      </c>
      <c r="AM32" s="216">
        <f>VLOOKUP(AM31,$Q$3:$R$6,2,0)</f>
        <v/>
      </c>
      <c r="AN32" s="216">
        <f>VLOOKUP(AN31,$Q$3:$R$6,2,0)</f>
        <v/>
      </c>
      <c r="AO32" s="216">
        <f>VLOOKUP(AO31,$Q$3:$R$6,2,0)</f>
        <v/>
      </c>
      <c r="AP32" s="216">
        <f>VLOOKUP(AP31,$Q$3:$R$6,2,0)</f>
        <v/>
      </c>
      <c r="AQ32" s="216">
        <f>VLOOKUP(AQ31,$Q$3:$R$6,2,0)</f>
        <v/>
      </c>
      <c r="AR32" s="216">
        <f>VLOOKUP(AR31,$Q$3:$R$6,2,0)</f>
        <v/>
      </c>
      <c r="AS32" s="216">
        <f>VLOOKUP(AS31,$Q$3:$R$6,2,0)</f>
        <v/>
      </c>
      <c r="AT32" s="216">
        <f>VLOOKUP(AT31,$Q$3:$R$6,2,0)</f>
        <v/>
      </c>
      <c r="AU32" s="216">
        <f>VLOOKUP(AU31,$Q$3:$R$6,2,0)</f>
        <v/>
      </c>
      <c r="AV32" s="216">
        <f>VLOOKUP(AV31,$Q$3:$R$6,2,0)</f>
        <v/>
      </c>
      <c r="AW32" s="216">
        <f>VLOOKUP(AW31,$Q$3:$R$6,2,0)</f>
        <v/>
      </c>
      <c r="AX32" s="216">
        <f>VLOOKUP(AX31,$Q$3:$R$6,2,0)</f>
        <v/>
      </c>
      <c r="AY32" s="216">
        <f>VLOOKUP(AY31,$Q$3:$R$6,2,0)</f>
        <v/>
      </c>
      <c r="AZ32" s="216">
        <f>VLOOKUP(AZ31,$Q$3:$R$6,2,0)</f>
        <v/>
      </c>
      <c r="BA32" s="216">
        <f>VLOOKUP(BA31,$Q$3:$R$6,2,0)</f>
        <v/>
      </c>
      <c r="BB32" s="216">
        <f>VLOOKUP(BB31,$Q$3:$R$6,2,0)</f>
        <v/>
      </c>
      <c r="BC32" s="216">
        <f>VLOOKUP(BC31,$Q$3:$R$6,2,0)</f>
        <v/>
      </c>
      <c r="BD32" s="217">
        <f>VLOOKUP(BD31,$Q$3:$R$6,2,0)</f>
        <v/>
      </c>
      <c r="BE32" s="217">
        <f>VLOOKUP(BE31,$Q$3:$R$6,2,0)</f>
        <v/>
      </c>
      <c r="BF32" s="217">
        <f>VLOOKUP(BF31,$Q$3:$R$6,2,0)</f>
        <v/>
      </c>
      <c r="BG32" s="217">
        <f>VLOOKUP(BG31,$Q$3:$R$6,2,0)</f>
        <v/>
      </c>
      <c r="BH32" s="217">
        <f>VLOOKUP(BH31,$Q$3:$R$6,2,0)</f>
        <v/>
      </c>
      <c r="BI32" s="217">
        <f>VLOOKUP(BI31,$Q$3:$R$6,2,0)</f>
        <v/>
      </c>
      <c r="BJ32" s="217">
        <f>VLOOKUP(BJ31,$Q$3:$R$6,2,0)</f>
        <v/>
      </c>
      <c r="BK32" s="217">
        <f>VLOOKUP(BK31,$Q$3:$R$6,2,0)</f>
        <v/>
      </c>
      <c r="BL32" s="217">
        <f>VLOOKUP(BL31,$Q$3:$R$6,2,0)</f>
        <v/>
      </c>
      <c r="BM32" s="217">
        <f>VLOOKUP(BM31,$Q$3:$R$6,2,0)</f>
        <v/>
      </c>
      <c r="BN32" s="217">
        <f>VLOOKUP(BN31,$Q$3:$R$6,2,0)</f>
        <v/>
      </c>
      <c r="BO32" s="217">
        <f>VLOOKUP(BO31,$Q$3:$R$6,2,0)</f>
        <v/>
      </c>
      <c r="BP32" s="217">
        <f>VLOOKUP(BP31,$Q$3:$R$6,2,0)</f>
        <v/>
      </c>
      <c r="BQ32" s="234" t="n"/>
      <c r="BR32" s="67" t="n"/>
    </row>
    <row r="33" ht="17" customHeight="1" s="165">
      <c r="A33" s="210" t="n"/>
      <c r="B33" s="57" t="inlineStr">
        <is>
          <t>Annual Travel Distance (km)</t>
        </is>
      </c>
      <c r="C33" s="235" t="n"/>
      <c r="D33" s="235" t="n"/>
      <c r="E33" s="235" t="n"/>
      <c r="F33" s="235" t="n"/>
      <c r="G33" s="235" t="n"/>
      <c r="H33" s="235" t="n">
        <v>173580</v>
      </c>
      <c r="I33" s="235" t="n"/>
      <c r="J33" s="235" t="n"/>
      <c r="K33" s="235" t="n"/>
      <c r="L33" s="235" t="n"/>
      <c r="M33" s="235" t="n"/>
      <c r="N33" s="235" t="n"/>
      <c r="O33" s="235" t="n"/>
      <c r="P33" s="235" t="n">
        <v>9725</v>
      </c>
      <c r="Q33" s="235" t="n"/>
      <c r="R33" s="235" t="n"/>
      <c r="S33" s="235" t="n"/>
      <c r="T33" s="235" t="n"/>
      <c r="U33" s="235" t="n"/>
      <c r="V33" s="235" t="n"/>
      <c r="W33" s="235" t="n"/>
      <c r="X33" s="235" t="n"/>
      <c r="Y33" s="235" t="n"/>
      <c r="Z33" s="235" t="n"/>
      <c r="AA33" s="235" t="n"/>
      <c r="AB33" s="235" t="n"/>
      <c r="AC33" s="235" t="n"/>
      <c r="AD33" s="235" t="n"/>
      <c r="AE33" s="235" t="n"/>
      <c r="AF33" s="235" t="n"/>
      <c r="AG33" s="235" t="n"/>
      <c r="AH33" s="235" t="n"/>
      <c r="AI33" s="235" t="n"/>
      <c r="AJ33" s="235" t="n"/>
      <c r="AK33" s="235" t="n"/>
      <c r="AL33" s="235" t="n"/>
      <c r="AM33" s="235" t="n"/>
      <c r="AN33" s="235" t="n"/>
      <c r="AO33" s="235" t="n"/>
      <c r="AP33" s="235" t="n"/>
      <c r="AQ33" s="235" t="n"/>
      <c r="AR33" s="235" t="n"/>
      <c r="AS33" s="235" t="n"/>
      <c r="AT33" s="235" t="n"/>
      <c r="AU33" s="235" t="n"/>
      <c r="AV33" s="235" t="n"/>
      <c r="AW33" s="235" t="n"/>
      <c r="AX33" s="235" t="n"/>
      <c r="AY33" s="235" t="n"/>
      <c r="AZ33" s="235" t="n"/>
      <c r="BA33" s="235" t="n"/>
      <c r="BB33" s="235" t="n"/>
      <c r="BC33" s="235" t="n"/>
      <c r="BD33" s="236" t="n"/>
      <c r="BE33" s="236" t="n"/>
      <c r="BF33" s="236" t="n"/>
      <c r="BG33" s="236" t="n"/>
      <c r="BH33" s="236" t="n"/>
      <c r="BI33" s="236" t="n"/>
      <c r="BJ33" s="236" t="n"/>
      <c r="BK33" s="236" t="n"/>
      <c r="BL33" s="236" t="n"/>
      <c r="BM33" s="236" t="n"/>
      <c r="BN33" s="236" t="n"/>
      <c r="BO33" s="236" t="n"/>
      <c r="BP33" s="236" t="n"/>
      <c r="BQ33" s="234" t="n"/>
      <c r="BR33" s="67" t="n"/>
    </row>
    <row r="34" ht="18.5" customHeight="1" s="165">
      <c r="A34" s="192" t="n"/>
      <c r="B34" s="77" t="inlineStr">
        <is>
          <t>Total Sold Weight (kg)</t>
        </is>
      </c>
      <c r="C34" s="78" t="n"/>
      <c r="D34" s="78" t="n"/>
      <c r="E34" s="78" t="n"/>
      <c r="F34" s="78" t="n"/>
      <c r="G34" s="78" t="n"/>
      <c r="H34" s="78" t="n">
        <v>13745683.4</v>
      </c>
      <c r="I34" s="78" t="n"/>
      <c r="J34" s="78" t="n"/>
      <c r="K34" s="78" t="n"/>
      <c r="L34" s="78" t="n"/>
      <c r="M34" s="78" t="n"/>
      <c r="N34" s="78" t="n"/>
      <c r="O34" s="78" t="n"/>
      <c r="P34" s="78" t="n">
        <v>499212</v>
      </c>
      <c r="Q34" s="78" t="n"/>
      <c r="R34" s="78" t="n"/>
      <c r="S34" s="78" t="n"/>
      <c r="T34" s="78" t="n"/>
      <c r="U34" s="78" t="n"/>
      <c r="V34" s="78" t="n"/>
      <c r="W34" s="78" t="n"/>
      <c r="X34" s="78" t="n"/>
      <c r="Y34" s="78" t="n"/>
      <c r="Z34" s="78" t="n"/>
      <c r="AA34" s="78" t="n"/>
      <c r="AB34" s="78" t="n"/>
      <c r="AC34" s="78" t="n"/>
      <c r="AD34" s="78" t="n"/>
      <c r="AE34" s="78" t="n"/>
      <c r="AF34" s="78" t="n"/>
      <c r="AG34" s="78" t="n"/>
      <c r="AH34" s="78" t="n"/>
      <c r="AI34" s="78" t="n"/>
      <c r="AJ34" s="78" t="n"/>
      <c r="AK34" s="78" t="n"/>
      <c r="AL34" s="78" t="n"/>
      <c r="AM34" s="78" t="n"/>
      <c r="AN34" s="78" t="n"/>
      <c r="AO34" s="78" t="n"/>
      <c r="AP34" s="78" t="n"/>
      <c r="AQ34" s="78" t="n"/>
      <c r="AR34" s="78" t="n"/>
      <c r="AS34" s="78" t="n"/>
      <c r="AT34" s="78" t="n"/>
      <c r="AU34" s="78" t="n"/>
      <c r="AV34" s="78" t="n"/>
      <c r="AW34" s="78" t="n"/>
      <c r="AX34" s="78" t="n"/>
      <c r="AY34" s="78" t="n"/>
      <c r="AZ34" s="237" t="n"/>
      <c r="BA34" s="237" t="n"/>
      <c r="BB34" s="78" t="n"/>
      <c r="BC34" s="78" t="n"/>
      <c r="BD34" s="79" t="n"/>
      <c r="BE34" s="79" t="n"/>
      <c r="BF34" s="79" t="n"/>
      <c r="BG34" s="79" t="n"/>
      <c r="BH34" s="79" t="n"/>
      <c r="BI34" s="79" t="n"/>
      <c r="BJ34" s="79" t="n"/>
      <c r="BK34" s="79" t="n"/>
      <c r="BL34" s="79" t="n"/>
      <c r="BM34" s="79" t="n"/>
      <c r="BN34" s="79" t="n"/>
      <c r="BO34" s="79" t="n"/>
      <c r="BP34" s="79" t="n"/>
      <c r="BQ34" s="198">
        <f t="array" ref="BQ34">SUMPRODUCT(C32:BP32,C33:BP33,C34:BP34/1000)</f>
        <v/>
      </c>
      <c r="BR34" s="199">
        <f>BQ34/1000</f>
        <v/>
      </c>
    </row>
    <row r="35" ht="18.5" customHeight="1" s="165">
      <c r="A35" s="152" t="inlineStr">
        <is>
          <t>Youngin</t>
        </is>
      </c>
      <c r="B35" s="56" t="inlineStr">
        <is>
          <t>Transport Mode</t>
        </is>
      </c>
      <c r="C35" s="213" t="inlineStr">
        <is>
          <t>Rail</t>
        </is>
      </c>
      <c r="D35" s="213" t="inlineStr">
        <is>
          <t>Truck</t>
        </is>
      </c>
      <c r="E35" s="213" t="inlineStr">
        <is>
          <t>Truck</t>
        </is>
      </c>
      <c r="F35" s="213" t="inlineStr">
        <is>
          <t>Air</t>
        </is>
      </c>
      <c r="G35" s="213" t="inlineStr">
        <is>
          <t>Truck</t>
        </is>
      </c>
      <c r="H35" s="213" t="inlineStr">
        <is>
          <t>Truck</t>
        </is>
      </c>
      <c r="I35" s="213" t="inlineStr">
        <is>
          <t>Truck</t>
        </is>
      </c>
      <c r="J35" s="213" t="inlineStr">
        <is>
          <t>Truck</t>
        </is>
      </c>
      <c r="K35" s="213" t="inlineStr">
        <is>
          <t>Truck</t>
        </is>
      </c>
      <c r="L35" s="213" t="inlineStr">
        <is>
          <t>Ocean Vessel</t>
        </is>
      </c>
      <c r="M35" s="213" t="inlineStr">
        <is>
          <t>Truck</t>
        </is>
      </c>
      <c r="N35" s="213" t="inlineStr">
        <is>
          <t>Truck</t>
        </is>
      </c>
      <c r="O35" s="213" t="inlineStr">
        <is>
          <t>Truck</t>
        </is>
      </c>
      <c r="P35" s="213" t="inlineStr">
        <is>
          <t>Truck</t>
        </is>
      </c>
      <c r="Q35" s="213" t="inlineStr">
        <is>
          <t>Truck</t>
        </is>
      </c>
      <c r="R35" s="213" t="inlineStr">
        <is>
          <t>Truck</t>
        </is>
      </c>
      <c r="S35" s="213" t="inlineStr">
        <is>
          <t>Truck</t>
        </is>
      </c>
      <c r="T35" s="213" t="inlineStr">
        <is>
          <t>Truck</t>
        </is>
      </c>
      <c r="U35" s="213" t="inlineStr">
        <is>
          <t>Truck</t>
        </is>
      </c>
      <c r="V35" s="213" t="inlineStr">
        <is>
          <t>Truck</t>
        </is>
      </c>
      <c r="W35" s="213" t="inlineStr">
        <is>
          <t>Truck</t>
        </is>
      </c>
      <c r="X35" s="213" t="inlineStr">
        <is>
          <t>Truck</t>
        </is>
      </c>
      <c r="Y35" s="213" t="inlineStr">
        <is>
          <t>Truck</t>
        </is>
      </c>
      <c r="Z35" s="213" t="inlineStr">
        <is>
          <t>Truck</t>
        </is>
      </c>
      <c r="AA35" s="213" t="inlineStr">
        <is>
          <t>Truck</t>
        </is>
      </c>
      <c r="AB35" s="213" t="inlineStr">
        <is>
          <t>Truck</t>
        </is>
      </c>
      <c r="AC35" s="213" t="inlineStr">
        <is>
          <t>Truck</t>
        </is>
      </c>
      <c r="AD35" s="213" t="inlineStr">
        <is>
          <t>Truck</t>
        </is>
      </c>
      <c r="AE35" s="213" t="inlineStr">
        <is>
          <t>Truck</t>
        </is>
      </c>
      <c r="AF35" s="213" t="inlineStr">
        <is>
          <t>Truck</t>
        </is>
      </c>
      <c r="AG35" s="213" t="inlineStr">
        <is>
          <t>Truck</t>
        </is>
      </c>
      <c r="AH35" s="213" t="inlineStr">
        <is>
          <t>Truck</t>
        </is>
      </c>
      <c r="AI35" s="213" t="inlineStr">
        <is>
          <t>Truck</t>
        </is>
      </c>
      <c r="AJ35" s="213" t="inlineStr">
        <is>
          <t>Truck</t>
        </is>
      </c>
      <c r="AK35" s="213" t="inlineStr">
        <is>
          <t>Truck</t>
        </is>
      </c>
      <c r="AL35" s="213" t="inlineStr">
        <is>
          <t>Truck</t>
        </is>
      </c>
      <c r="AM35" s="213" t="inlineStr">
        <is>
          <t>Truck</t>
        </is>
      </c>
      <c r="AN35" s="213" t="inlineStr">
        <is>
          <t>Truck</t>
        </is>
      </c>
      <c r="AO35" s="213" t="inlineStr">
        <is>
          <t>Truck</t>
        </is>
      </c>
      <c r="AP35" s="213" t="inlineStr">
        <is>
          <t>Truck</t>
        </is>
      </c>
      <c r="AQ35" s="213" t="inlineStr">
        <is>
          <t>Truck</t>
        </is>
      </c>
      <c r="AR35" s="213" t="inlineStr">
        <is>
          <t>Truck</t>
        </is>
      </c>
      <c r="AS35" s="213" t="inlineStr">
        <is>
          <t>Truck</t>
        </is>
      </c>
      <c r="AT35" s="213" t="inlineStr">
        <is>
          <t>Truck</t>
        </is>
      </c>
      <c r="AU35" s="213" t="inlineStr">
        <is>
          <t>Truck</t>
        </is>
      </c>
      <c r="AV35" s="213" t="inlineStr">
        <is>
          <t>Truck</t>
        </is>
      </c>
      <c r="AW35" s="213" t="inlineStr">
        <is>
          <t>Truck</t>
        </is>
      </c>
      <c r="AX35" s="213" t="inlineStr">
        <is>
          <t>Truck</t>
        </is>
      </c>
      <c r="AY35" s="213" t="inlineStr">
        <is>
          <t>Truck</t>
        </is>
      </c>
      <c r="AZ35" s="213" t="inlineStr">
        <is>
          <t>Truck</t>
        </is>
      </c>
      <c r="BA35" s="213" t="inlineStr">
        <is>
          <t>Truck</t>
        </is>
      </c>
      <c r="BB35" s="213" t="inlineStr">
        <is>
          <t>Truck</t>
        </is>
      </c>
      <c r="BC35" s="213" t="inlineStr">
        <is>
          <t>Truck</t>
        </is>
      </c>
      <c r="BD35" s="214" t="inlineStr">
        <is>
          <t>Truck</t>
        </is>
      </c>
      <c r="BE35" s="214" t="inlineStr">
        <is>
          <t>Truck</t>
        </is>
      </c>
      <c r="BF35" s="214" t="inlineStr">
        <is>
          <t>Truck</t>
        </is>
      </c>
      <c r="BG35" s="214" t="inlineStr">
        <is>
          <t>Truck</t>
        </is>
      </c>
      <c r="BH35" s="214" t="inlineStr">
        <is>
          <t>Truck</t>
        </is>
      </c>
      <c r="BI35" s="214" t="inlineStr">
        <is>
          <t>Truck</t>
        </is>
      </c>
      <c r="BJ35" s="214" t="inlineStr">
        <is>
          <t>Truck</t>
        </is>
      </c>
      <c r="BK35" s="214" t="inlineStr">
        <is>
          <t>Truck</t>
        </is>
      </c>
      <c r="BL35" s="214" t="inlineStr">
        <is>
          <t>Truck</t>
        </is>
      </c>
      <c r="BM35" s="214" t="inlineStr">
        <is>
          <t>Truck</t>
        </is>
      </c>
      <c r="BN35" s="214" t="inlineStr">
        <is>
          <t>Truck</t>
        </is>
      </c>
      <c r="BO35" s="214" t="inlineStr">
        <is>
          <t>Truck</t>
        </is>
      </c>
      <c r="BP35" s="214" t="inlineStr">
        <is>
          <t>Truck</t>
        </is>
      </c>
      <c r="BQ35" s="70" t="n"/>
      <c r="BR35" s="67" t="n"/>
    </row>
    <row r="36" ht="17" customHeight="1" s="165">
      <c r="A36" s="210" t="n"/>
      <c r="B36" s="152" t="inlineStr">
        <is>
          <t>Emission Factor (Auto)</t>
        </is>
      </c>
      <c r="C36" s="216">
        <f>VLOOKUP(C35,$Q$3:$R$6,2,0)</f>
        <v/>
      </c>
      <c r="D36" s="216">
        <f>VLOOKUP(D35,$Q$3:$R$6,2,0)</f>
        <v/>
      </c>
      <c r="E36" s="216">
        <f>VLOOKUP(E35,$Q$3:$R$6,2,0)</f>
        <v/>
      </c>
      <c r="F36" s="216">
        <f>VLOOKUP(F35,$Q$3:$R$6,2,0)</f>
        <v/>
      </c>
      <c r="G36" s="216">
        <f>VLOOKUP(G35,$Q$3:$R$6,2,0)</f>
        <v/>
      </c>
      <c r="H36" s="216">
        <f>VLOOKUP(H35,$Q$3:$R$6,2,0)</f>
        <v/>
      </c>
      <c r="I36" s="216">
        <f>VLOOKUP(I35,$Q$3:$R$6,2,0)</f>
        <v/>
      </c>
      <c r="J36" s="216">
        <f>VLOOKUP(J35,$Q$3:$R$6,2,0)</f>
        <v/>
      </c>
      <c r="K36" s="216">
        <f>VLOOKUP(K35,$Q$3:$R$6,2,0)</f>
        <v/>
      </c>
      <c r="L36" s="216">
        <f>VLOOKUP(L35,$Q$3:$R$6,2,0)</f>
        <v/>
      </c>
      <c r="M36" s="216">
        <f>VLOOKUP(M35,$Q$3:$R$6,2,0)</f>
        <v/>
      </c>
      <c r="N36" s="216">
        <f>VLOOKUP(N35,$Q$3:$R$6,2,0)</f>
        <v/>
      </c>
      <c r="O36" s="216">
        <f>VLOOKUP(O35,$Q$3:$R$6,2,0)</f>
        <v/>
      </c>
      <c r="P36" s="216">
        <f>VLOOKUP(P35,$Q$3:$R$6,2,0)</f>
        <v/>
      </c>
      <c r="Q36" s="216">
        <f>VLOOKUP(Q35,$Q$3:$R$6,2,0)</f>
        <v/>
      </c>
      <c r="R36" s="216">
        <f>VLOOKUP(R35,$Q$3:$R$6,2,0)</f>
        <v/>
      </c>
      <c r="S36" s="216">
        <f>VLOOKUP(S35,$Q$3:$R$6,2,0)</f>
        <v/>
      </c>
      <c r="T36" s="216">
        <f>VLOOKUP(T35,$Q$3:$R$6,2,0)</f>
        <v/>
      </c>
      <c r="U36" s="216">
        <f>VLOOKUP(U35,$Q$3:$R$6,2,0)</f>
        <v/>
      </c>
      <c r="V36" s="216">
        <f>VLOOKUP(V35,$Q$3:$R$6,2,0)</f>
        <v/>
      </c>
      <c r="W36" s="216">
        <f>VLOOKUP(W35,$Q$3:$R$6,2,0)</f>
        <v/>
      </c>
      <c r="X36" s="216">
        <f>VLOOKUP(X35,$Q$3:$R$6,2,0)</f>
        <v/>
      </c>
      <c r="Y36" s="216">
        <f>VLOOKUP(Y35,$Q$3:$R$6,2,0)</f>
        <v/>
      </c>
      <c r="Z36" s="216">
        <f>VLOOKUP(Z35,$Q$3:$R$6,2,0)</f>
        <v/>
      </c>
      <c r="AA36" s="216">
        <f>VLOOKUP(AA35,$Q$3:$R$6,2,0)</f>
        <v/>
      </c>
      <c r="AB36" s="216">
        <f>VLOOKUP(AB35,$Q$3:$R$6,2,0)</f>
        <v/>
      </c>
      <c r="AC36" s="216">
        <f>VLOOKUP(AC35,$Q$3:$R$6,2,0)</f>
        <v/>
      </c>
      <c r="AD36" s="216">
        <f>VLOOKUP(AD35,$Q$3:$R$6,2,0)</f>
        <v/>
      </c>
      <c r="AE36" s="216">
        <f>VLOOKUP(AE35,$Q$3:$R$6,2,0)</f>
        <v/>
      </c>
      <c r="AF36" s="216">
        <f>VLOOKUP(AF35,$Q$3:$R$6,2,0)</f>
        <v/>
      </c>
      <c r="AG36" s="216">
        <f>VLOOKUP(AG35,$Q$3:$R$6,2,0)</f>
        <v/>
      </c>
      <c r="AH36" s="216">
        <f>VLOOKUP(AH35,$Q$3:$R$6,2,0)</f>
        <v/>
      </c>
      <c r="AI36" s="216">
        <f>VLOOKUP(AI35,$Q$3:$R$6,2,0)</f>
        <v/>
      </c>
      <c r="AJ36" s="216">
        <f>VLOOKUP(AJ35,$Q$3:$R$6,2,0)</f>
        <v/>
      </c>
      <c r="AK36" s="216">
        <f>VLOOKUP(AK35,$Q$3:$R$6,2,0)</f>
        <v/>
      </c>
      <c r="AL36" s="216">
        <f>VLOOKUP(AL35,$Q$3:$R$6,2,0)</f>
        <v/>
      </c>
      <c r="AM36" s="216">
        <f>VLOOKUP(AM35,$Q$3:$R$6,2,0)</f>
        <v/>
      </c>
      <c r="AN36" s="216">
        <f>VLOOKUP(AN35,$Q$3:$R$6,2,0)</f>
        <v/>
      </c>
      <c r="AO36" s="216">
        <f>VLOOKUP(AO35,$Q$3:$R$6,2,0)</f>
        <v/>
      </c>
      <c r="AP36" s="216">
        <f>VLOOKUP(AP35,$Q$3:$R$6,2,0)</f>
        <v/>
      </c>
      <c r="AQ36" s="216">
        <f>VLOOKUP(AQ35,$Q$3:$R$6,2,0)</f>
        <v/>
      </c>
      <c r="AR36" s="216">
        <f>VLOOKUP(AR35,$Q$3:$R$6,2,0)</f>
        <v/>
      </c>
      <c r="AS36" s="216">
        <f>VLOOKUP(AS35,$Q$3:$R$6,2,0)</f>
        <v/>
      </c>
      <c r="AT36" s="216">
        <f>VLOOKUP(AT35,$Q$3:$R$6,2,0)</f>
        <v/>
      </c>
      <c r="AU36" s="216">
        <f>VLOOKUP(AU35,$Q$3:$R$6,2,0)</f>
        <v/>
      </c>
      <c r="AV36" s="216">
        <f>VLOOKUP(AV35,$Q$3:$R$6,2,0)</f>
        <v/>
      </c>
      <c r="AW36" s="216">
        <f>VLOOKUP(AW35,$Q$3:$R$6,2,0)</f>
        <v/>
      </c>
      <c r="AX36" s="216">
        <f>VLOOKUP(AX35,$Q$3:$R$6,2,0)</f>
        <v/>
      </c>
      <c r="AY36" s="216">
        <f>VLOOKUP(AY35,$Q$3:$R$6,2,0)</f>
        <v/>
      </c>
      <c r="AZ36" s="216">
        <f>VLOOKUP(AZ35,$Q$3:$R$6,2,0)</f>
        <v/>
      </c>
      <c r="BA36" s="216">
        <f>VLOOKUP(BA35,$Q$3:$R$6,2,0)</f>
        <v/>
      </c>
      <c r="BB36" s="216">
        <f>VLOOKUP(BB35,$Q$3:$R$6,2,0)</f>
        <v/>
      </c>
      <c r="BC36" s="216">
        <f>VLOOKUP(BC35,$Q$3:$R$6,2,0)</f>
        <v/>
      </c>
      <c r="BD36" s="217">
        <f>VLOOKUP(BD35,$Q$3:$R$6,2,0)</f>
        <v/>
      </c>
      <c r="BE36" s="217">
        <f>VLOOKUP(BE35,$Q$3:$R$6,2,0)</f>
        <v/>
      </c>
      <c r="BF36" s="217">
        <f>VLOOKUP(BF35,$Q$3:$R$6,2,0)</f>
        <v/>
      </c>
      <c r="BG36" s="217">
        <f>VLOOKUP(BG35,$Q$3:$R$6,2,0)</f>
        <v/>
      </c>
      <c r="BH36" s="217">
        <f>VLOOKUP(BH35,$Q$3:$R$6,2,0)</f>
        <v/>
      </c>
      <c r="BI36" s="217">
        <f>VLOOKUP(BI35,$Q$3:$R$6,2,0)</f>
        <v/>
      </c>
      <c r="BJ36" s="217">
        <f>VLOOKUP(BJ35,$Q$3:$R$6,2,0)</f>
        <v/>
      </c>
      <c r="BK36" s="217">
        <f>VLOOKUP(BK35,$Q$3:$R$6,2,0)</f>
        <v/>
      </c>
      <c r="BL36" s="217">
        <f>VLOOKUP(BL35,$Q$3:$R$6,2,0)</f>
        <v/>
      </c>
      <c r="BM36" s="217">
        <f>VLOOKUP(BM35,$Q$3:$R$6,2,0)</f>
        <v/>
      </c>
      <c r="BN36" s="217">
        <f>VLOOKUP(BN35,$Q$3:$R$6,2,0)</f>
        <v/>
      </c>
      <c r="BO36" s="217">
        <f>VLOOKUP(BO35,$Q$3:$R$6,2,0)</f>
        <v/>
      </c>
      <c r="BP36" s="217">
        <f>VLOOKUP(BP35,$Q$3:$R$6,2,0)</f>
        <v/>
      </c>
      <c r="BQ36" s="234" t="n"/>
      <c r="BR36" s="67" t="n"/>
    </row>
    <row r="37" ht="17" customHeight="1" s="165">
      <c r="A37" s="210" t="n"/>
      <c r="B37" s="57" t="inlineStr">
        <is>
          <t>Annual Travel Distance (km)</t>
        </is>
      </c>
      <c r="C37" s="235" t="n"/>
      <c r="D37" s="235" t="n">
        <v>1911</v>
      </c>
      <c r="E37" s="235" t="n">
        <v>40712</v>
      </c>
      <c r="F37" s="235" t="n"/>
      <c r="G37" s="235" t="n"/>
      <c r="H37" s="235" t="n"/>
      <c r="I37" s="235" t="n"/>
      <c r="J37" s="235" t="n"/>
      <c r="K37" s="235" t="n"/>
      <c r="L37" s="235" t="n"/>
      <c r="M37" s="235" t="n">
        <v>26325</v>
      </c>
      <c r="N37" s="235" t="n"/>
      <c r="O37" s="235" t="n"/>
      <c r="P37" s="235" t="n"/>
      <c r="Q37" s="235" t="n"/>
      <c r="R37" s="235" t="n"/>
      <c r="S37" s="235" t="n"/>
      <c r="T37" s="235" t="n"/>
      <c r="U37" s="235" t="n"/>
      <c r="V37" s="235" t="n"/>
      <c r="W37" s="235" t="n"/>
      <c r="X37" s="235" t="n"/>
      <c r="Y37" s="235" t="n"/>
      <c r="Z37" s="235" t="n"/>
      <c r="AA37" s="235" t="n"/>
      <c r="AB37" s="235" t="n"/>
      <c r="AC37" s="235" t="n"/>
      <c r="AD37" s="235" t="n"/>
      <c r="AE37" s="235" t="n"/>
      <c r="AF37" s="235" t="n"/>
      <c r="AG37" s="235" t="n"/>
      <c r="AH37" s="235" t="n"/>
      <c r="AI37" s="235" t="n"/>
      <c r="AJ37" s="235" t="n"/>
      <c r="AK37" s="235" t="n"/>
      <c r="AL37" s="235" t="n"/>
      <c r="AM37" s="235" t="n"/>
      <c r="AN37" s="235" t="n"/>
      <c r="AO37" s="235" t="n"/>
      <c r="AP37" s="235" t="n"/>
      <c r="AQ37" s="235" t="n"/>
      <c r="AR37" s="235" t="n"/>
      <c r="AS37" s="235" t="n"/>
      <c r="AT37" s="235" t="n"/>
      <c r="AU37" s="235" t="n"/>
      <c r="AV37" s="235" t="n"/>
      <c r="AW37" s="235" t="n"/>
      <c r="AX37" s="235" t="n"/>
      <c r="AY37" s="235" t="n"/>
      <c r="AZ37" s="235" t="n">
        <v>46410</v>
      </c>
      <c r="BA37" s="235" t="n">
        <v>33558</v>
      </c>
      <c r="BB37" s="236" t="n">
        <v>1344</v>
      </c>
      <c r="BC37" s="236" t="n">
        <v>1680</v>
      </c>
      <c r="BD37" s="236" t="n"/>
      <c r="BE37" s="236" t="n"/>
      <c r="BF37" s="236" t="n"/>
      <c r="BG37" s="236" t="n"/>
      <c r="BH37" s="236" t="n"/>
      <c r="BI37" s="236" t="n"/>
      <c r="BJ37" s="236" t="n"/>
      <c r="BK37" s="236" t="n"/>
      <c r="BL37" s="236" t="n"/>
      <c r="BM37" s="236" t="n"/>
      <c r="BN37" s="236" t="n"/>
      <c r="BO37" s="236" t="n"/>
      <c r="BP37" s="236" t="n"/>
      <c r="BQ37" s="234" t="n"/>
      <c r="BR37" s="67" t="n"/>
    </row>
    <row r="38" ht="18.5" customHeight="1" s="165">
      <c r="A38" s="192" t="n"/>
      <c r="B38" s="77" t="inlineStr">
        <is>
          <t>Total Sold Weight (kg)</t>
        </is>
      </c>
      <c r="C38" s="237" t="n"/>
      <c r="D38" s="237" t="n">
        <v>304154</v>
      </c>
      <c r="E38" s="237" t="n">
        <v>2175093</v>
      </c>
      <c r="F38" s="78" t="n"/>
      <c r="G38" s="78" t="n"/>
      <c r="H38" s="78" t="n"/>
      <c r="I38" s="78" t="n"/>
      <c r="J38" s="78" t="n"/>
      <c r="K38" s="78" t="n"/>
      <c r="L38" s="78" t="n"/>
      <c r="M38" s="78" t="n">
        <v>268628</v>
      </c>
      <c r="N38" s="78" t="n"/>
      <c r="O38" s="78" t="n"/>
      <c r="P38" s="78" t="n"/>
      <c r="Q38" s="78" t="n"/>
      <c r="R38" s="78" t="n"/>
      <c r="S38" s="78" t="n"/>
      <c r="T38" s="78" t="n"/>
      <c r="U38" s="78" t="n"/>
      <c r="V38" s="78" t="n"/>
      <c r="W38" s="78" t="n"/>
      <c r="X38" s="78" t="n"/>
      <c r="Y38" s="78" t="n"/>
      <c r="Z38" s="78" t="n"/>
      <c r="AA38" s="78" t="n"/>
      <c r="AB38" s="78" t="n"/>
      <c r="AC38" s="78" t="n"/>
      <c r="AD38" s="78" t="n"/>
      <c r="AE38" s="78" t="n"/>
      <c r="AF38" s="78" t="n"/>
      <c r="AG38" s="78" t="n"/>
      <c r="AH38" s="78" t="n"/>
      <c r="AI38" s="78" t="n"/>
      <c r="AJ38" s="78" t="n"/>
      <c r="AK38" s="78" t="n"/>
      <c r="AL38" s="78" t="n"/>
      <c r="AM38" s="78" t="n"/>
      <c r="AN38" s="78" t="n"/>
      <c r="AO38" s="78" t="n"/>
      <c r="AP38" s="78" t="n"/>
      <c r="AQ38" s="78" t="n"/>
      <c r="AR38" s="78" t="n"/>
      <c r="AS38" s="78" t="n"/>
      <c r="AT38" s="78" t="n"/>
      <c r="AU38" s="78" t="n"/>
      <c r="AV38" s="78" t="n"/>
      <c r="AW38" s="78" t="n"/>
      <c r="AX38" s="78" t="n"/>
      <c r="AY38" s="78" t="n"/>
      <c r="AZ38" s="237" t="n">
        <v>390613</v>
      </c>
      <c r="BA38" s="237" t="n">
        <v>554240</v>
      </c>
      <c r="BB38" s="238" t="n">
        <v>97821</v>
      </c>
      <c r="BC38" s="238" t="n">
        <v>56782</v>
      </c>
      <c r="BD38" s="79" t="n"/>
      <c r="BE38" s="79" t="n"/>
      <c r="BF38" s="79" t="n"/>
      <c r="BG38" s="79" t="n"/>
      <c r="BH38" s="79" t="n"/>
      <c r="BI38" s="79" t="n"/>
      <c r="BJ38" s="79" t="n"/>
      <c r="BK38" s="79" t="n"/>
      <c r="BL38" s="79" t="n"/>
      <c r="BM38" s="79" t="n"/>
      <c r="BN38" s="79" t="n"/>
      <c r="BO38" s="79" t="n"/>
      <c r="BP38" s="79" t="n"/>
      <c r="BQ38" s="198">
        <f t="array" ref="BQ38">SUMPRODUCT(C36:BP36,C37:BP37,C38:BP38/1000)</f>
        <v/>
      </c>
      <c r="BR38" s="199">
        <f>BQ38/1000</f>
        <v/>
      </c>
    </row>
    <row r="39" ht="18.5" customHeight="1" s="165">
      <c r="A39" s="152" t="inlineStr">
        <is>
          <t>Beijing</t>
        </is>
      </c>
      <c r="B39" s="56" t="inlineStr">
        <is>
          <t>Transport Mode</t>
        </is>
      </c>
      <c r="C39" s="213" t="inlineStr">
        <is>
          <t>Truck</t>
        </is>
      </c>
      <c r="D39" s="213" t="inlineStr">
        <is>
          <t>Truck</t>
        </is>
      </c>
      <c r="E39" s="213" t="inlineStr">
        <is>
          <t>Truck</t>
        </is>
      </c>
      <c r="F39" s="213" t="inlineStr">
        <is>
          <t>Air</t>
        </is>
      </c>
      <c r="G39" s="213" t="inlineStr">
        <is>
          <t>Truck</t>
        </is>
      </c>
      <c r="H39" s="213" t="inlineStr">
        <is>
          <t>Truck</t>
        </is>
      </c>
      <c r="I39" s="213" t="inlineStr">
        <is>
          <t>Truck</t>
        </is>
      </c>
      <c r="J39" s="213" t="inlineStr">
        <is>
          <t>Truck</t>
        </is>
      </c>
      <c r="K39" s="213" t="inlineStr">
        <is>
          <t>Truck</t>
        </is>
      </c>
      <c r="L39" s="213" t="inlineStr">
        <is>
          <t>Ocean Vessel</t>
        </is>
      </c>
      <c r="M39" s="213" t="inlineStr">
        <is>
          <t>Truck</t>
        </is>
      </c>
      <c r="N39" s="213" t="inlineStr">
        <is>
          <t>Truck</t>
        </is>
      </c>
      <c r="O39" s="213" t="inlineStr">
        <is>
          <t>Truck</t>
        </is>
      </c>
      <c r="P39" s="213" t="inlineStr">
        <is>
          <t>Truck</t>
        </is>
      </c>
      <c r="Q39" s="213" t="inlineStr">
        <is>
          <t>Truck</t>
        </is>
      </c>
      <c r="R39" s="213" t="inlineStr">
        <is>
          <t>Truck</t>
        </is>
      </c>
      <c r="S39" s="213" t="inlineStr">
        <is>
          <t>Truck</t>
        </is>
      </c>
      <c r="T39" s="213" t="inlineStr">
        <is>
          <t>Truck</t>
        </is>
      </c>
      <c r="U39" s="213" t="inlineStr">
        <is>
          <t>Truck</t>
        </is>
      </c>
      <c r="V39" s="213" t="inlineStr">
        <is>
          <t>Truck</t>
        </is>
      </c>
      <c r="W39" s="213" t="inlineStr">
        <is>
          <t>Truck</t>
        </is>
      </c>
      <c r="X39" s="213" t="inlineStr">
        <is>
          <t>Truck</t>
        </is>
      </c>
      <c r="Y39" s="213" t="inlineStr">
        <is>
          <t>Truck</t>
        </is>
      </c>
      <c r="Z39" s="213" t="inlineStr">
        <is>
          <t>Truck</t>
        </is>
      </c>
      <c r="AA39" s="213" t="inlineStr">
        <is>
          <t>Truck</t>
        </is>
      </c>
      <c r="AB39" s="213" t="inlineStr">
        <is>
          <t>Truck</t>
        </is>
      </c>
      <c r="AC39" s="213" t="inlineStr">
        <is>
          <t>Truck</t>
        </is>
      </c>
      <c r="AD39" s="213" t="inlineStr">
        <is>
          <t>Truck</t>
        </is>
      </c>
      <c r="AE39" s="213" t="inlineStr">
        <is>
          <t>Truck</t>
        </is>
      </c>
      <c r="AF39" s="213" t="inlineStr">
        <is>
          <t>Truck</t>
        </is>
      </c>
      <c r="AG39" s="213" t="inlineStr">
        <is>
          <t>Truck</t>
        </is>
      </c>
      <c r="AH39" s="213" t="inlineStr">
        <is>
          <t>Truck</t>
        </is>
      </c>
      <c r="AI39" s="213" t="inlineStr">
        <is>
          <t>Truck</t>
        </is>
      </c>
      <c r="AJ39" s="213" t="inlineStr">
        <is>
          <t>Truck</t>
        </is>
      </c>
      <c r="AK39" s="213" t="inlineStr">
        <is>
          <t>Truck</t>
        </is>
      </c>
      <c r="AL39" s="213" t="inlineStr">
        <is>
          <t>Truck</t>
        </is>
      </c>
      <c r="AM39" s="213" t="inlineStr">
        <is>
          <t>Truck</t>
        </is>
      </c>
      <c r="AN39" s="213" t="inlineStr">
        <is>
          <t>Truck</t>
        </is>
      </c>
      <c r="AO39" s="213" t="inlineStr">
        <is>
          <t>Truck</t>
        </is>
      </c>
      <c r="AP39" s="213" t="inlineStr">
        <is>
          <t>Truck</t>
        </is>
      </c>
      <c r="AQ39" s="213" t="inlineStr">
        <is>
          <t>Truck</t>
        </is>
      </c>
      <c r="AR39" s="213" t="inlineStr">
        <is>
          <t>Truck</t>
        </is>
      </c>
      <c r="AS39" s="213" t="inlineStr">
        <is>
          <t>Truck</t>
        </is>
      </c>
      <c r="AT39" s="213" t="inlineStr">
        <is>
          <t>Truck</t>
        </is>
      </c>
      <c r="AU39" s="213" t="inlineStr">
        <is>
          <t>Truck</t>
        </is>
      </c>
      <c r="AV39" s="213" t="inlineStr">
        <is>
          <t>Truck</t>
        </is>
      </c>
      <c r="AW39" s="213" t="inlineStr">
        <is>
          <t>Truck</t>
        </is>
      </c>
      <c r="AX39" s="213" t="inlineStr">
        <is>
          <t>Truck</t>
        </is>
      </c>
      <c r="AY39" s="213" t="inlineStr">
        <is>
          <t>Truck</t>
        </is>
      </c>
      <c r="AZ39" s="213" t="inlineStr">
        <is>
          <t>Truck</t>
        </is>
      </c>
      <c r="BA39" s="213" t="inlineStr">
        <is>
          <t>Truck</t>
        </is>
      </c>
      <c r="BB39" s="213" t="inlineStr">
        <is>
          <t>Truck</t>
        </is>
      </c>
      <c r="BC39" s="213" t="inlineStr">
        <is>
          <t>Truck</t>
        </is>
      </c>
      <c r="BD39" s="214" t="inlineStr">
        <is>
          <t>Truck</t>
        </is>
      </c>
      <c r="BE39" s="214" t="inlineStr">
        <is>
          <t>Truck</t>
        </is>
      </c>
      <c r="BF39" s="214" t="inlineStr">
        <is>
          <t>Truck</t>
        </is>
      </c>
      <c r="BG39" s="214" t="inlineStr">
        <is>
          <t>Truck</t>
        </is>
      </c>
      <c r="BH39" s="214" t="inlineStr">
        <is>
          <t>Truck</t>
        </is>
      </c>
      <c r="BI39" s="214" t="inlineStr">
        <is>
          <t>Truck</t>
        </is>
      </c>
      <c r="BJ39" s="214" t="inlineStr">
        <is>
          <t>Truck</t>
        </is>
      </c>
      <c r="BK39" s="214" t="inlineStr">
        <is>
          <t>Truck</t>
        </is>
      </c>
      <c r="BL39" s="214" t="inlineStr">
        <is>
          <t>Truck</t>
        </is>
      </c>
      <c r="BM39" s="214" t="inlineStr">
        <is>
          <t>Truck</t>
        </is>
      </c>
      <c r="BN39" s="214" t="inlineStr">
        <is>
          <t>Truck</t>
        </is>
      </c>
      <c r="BO39" s="214" t="inlineStr">
        <is>
          <t>Truck</t>
        </is>
      </c>
      <c r="BP39" s="214" t="inlineStr">
        <is>
          <t>Truck</t>
        </is>
      </c>
      <c r="BQ39" s="70" t="n"/>
      <c r="BR39" s="67" t="n"/>
    </row>
    <row r="40" ht="17" customHeight="1" s="165">
      <c r="A40" s="210" t="n"/>
      <c r="B40" s="152" t="inlineStr">
        <is>
          <t>Emission Factor (Auto)</t>
        </is>
      </c>
      <c r="C40" s="216">
        <f>VLOOKUP(C39,$Q$3:$R$6,2,0)</f>
        <v/>
      </c>
      <c r="D40" s="216">
        <f>VLOOKUP(D39,$Q$3:$R$6,2,0)</f>
        <v/>
      </c>
      <c r="E40" s="216">
        <f>VLOOKUP(E39,$Q$3:$R$6,2,0)</f>
        <v/>
      </c>
      <c r="F40" s="216">
        <f>VLOOKUP(F39,$Q$3:$R$6,2,0)</f>
        <v/>
      </c>
      <c r="G40" s="216">
        <f>VLOOKUP(G39,$Q$3:$R$6,2,0)</f>
        <v/>
      </c>
      <c r="H40" s="216">
        <f>VLOOKUP(H39,$Q$3:$R$6,2,0)</f>
        <v/>
      </c>
      <c r="I40" s="216">
        <f>VLOOKUP(I39,$Q$3:$R$6,2,0)</f>
        <v/>
      </c>
      <c r="J40" s="216">
        <f>VLOOKUP(J39,$Q$3:$R$6,2,0)</f>
        <v/>
      </c>
      <c r="K40" s="216">
        <f>VLOOKUP(K39,$Q$3:$R$6,2,0)</f>
        <v/>
      </c>
      <c r="L40" s="216">
        <f>VLOOKUP(L39,$Q$3:$R$6,2,0)</f>
        <v/>
      </c>
      <c r="M40" s="216">
        <f>VLOOKUP(M39,$Q$3:$R$6,2,0)</f>
        <v/>
      </c>
      <c r="N40" s="216">
        <f>VLOOKUP(N39,$Q$3:$R$6,2,0)</f>
        <v/>
      </c>
      <c r="O40" s="216">
        <f>VLOOKUP(O39,$Q$3:$R$6,2,0)</f>
        <v/>
      </c>
      <c r="P40" s="216">
        <f>VLOOKUP(P39,$Q$3:$R$6,2,0)</f>
        <v/>
      </c>
      <c r="Q40" s="216">
        <f>VLOOKUP(Q39,$Q$3:$R$6,2,0)</f>
        <v/>
      </c>
      <c r="R40" s="216">
        <f>VLOOKUP(R39,$Q$3:$R$6,2,0)</f>
        <v/>
      </c>
      <c r="S40" s="216">
        <f>VLOOKUP(S39,$Q$3:$R$6,2,0)</f>
        <v/>
      </c>
      <c r="T40" s="216">
        <f>VLOOKUP(T39,$Q$3:$R$6,2,0)</f>
        <v/>
      </c>
      <c r="U40" s="216">
        <f>VLOOKUP(U39,$Q$3:$R$6,2,0)</f>
        <v/>
      </c>
      <c r="V40" s="216">
        <f>VLOOKUP(V39,$Q$3:$R$6,2,0)</f>
        <v/>
      </c>
      <c r="W40" s="216">
        <f>VLOOKUP(W39,$Q$3:$R$6,2,0)</f>
        <v/>
      </c>
      <c r="X40" s="216">
        <f>VLOOKUP(X39,$Q$3:$R$6,2,0)</f>
        <v/>
      </c>
      <c r="Y40" s="216">
        <f>VLOOKUP(Y39,$Q$3:$R$6,2,0)</f>
        <v/>
      </c>
      <c r="Z40" s="216">
        <f>VLOOKUP(Z39,$Q$3:$R$6,2,0)</f>
        <v/>
      </c>
      <c r="AA40" s="216">
        <f>VLOOKUP(AA39,$Q$3:$R$6,2,0)</f>
        <v/>
      </c>
      <c r="AB40" s="216">
        <f>VLOOKUP(AB39,$Q$3:$R$6,2,0)</f>
        <v/>
      </c>
      <c r="AC40" s="216">
        <f>VLOOKUP(AC39,$Q$3:$R$6,2,0)</f>
        <v/>
      </c>
      <c r="AD40" s="216">
        <f>VLOOKUP(AD39,$Q$3:$R$6,2,0)</f>
        <v/>
      </c>
      <c r="AE40" s="216">
        <f>VLOOKUP(AE39,$Q$3:$R$6,2,0)</f>
        <v/>
      </c>
      <c r="AF40" s="216">
        <f>VLOOKUP(AF39,$Q$3:$R$6,2,0)</f>
        <v/>
      </c>
      <c r="AG40" s="216">
        <f>VLOOKUP(AG39,$Q$3:$R$6,2,0)</f>
        <v/>
      </c>
      <c r="AH40" s="216">
        <f>VLOOKUP(AH39,$Q$3:$R$6,2,0)</f>
        <v/>
      </c>
      <c r="AI40" s="216">
        <f>VLOOKUP(AI39,$Q$3:$R$6,2,0)</f>
        <v/>
      </c>
      <c r="AJ40" s="216">
        <f>VLOOKUP(AJ39,$Q$3:$R$6,2,0)</f>
        <v/>
      </c>
      <c r="AK40" s="216">
        <f>VLOOKUP(AK39,$Q$3:$R$6,2,0)</f>
        <v/>
      </c>
      <c r="AL40" s="216">
        <f>VLOOKUP(AL39,$Q$3:$R$6,2,0)</f>
        <v/>
      </c>
      <c r="AM40" s="216">
        <f>VLOOKUP(AM39,$Q$3:$R$6,2,0)</f>
        <v/>
      </c>
      <c r="AN40" s="216">
        <f>VLOOKUP(AN39,$Q$3:$R$6,2,0)</f>
        <v/>
      </c>
      <c r="AO40" s="216">
        <f>VLOOKUP(AO39,$Q$3:$R$6,2,0)</f>
        <v/>
      </c>
      <c r="AP40" s="216">
        <f>VLOOKUP(AP39,$Q$3:$R$6,2,0)</f>
        <v/>
      </c>
      <c r="AQ40" s="216">
        <f>VLOOKUP(AQ39,$Q$3:$R$6,2,0)</f>
        <v/>
      </c>
      <c r="AR40" s="216">
        <f>VLOOKUP(AR39,$Q$3:$R$6,2,0)</f>
        <v/>
      </c>
      <c r="AS40" s="216">
        <f>VLOOKUP(AS39,$Q$3:$R$6,2,0)</f>
        <v/>
      </c>
      <c r="AT40" s="216">
        <f>VLOOKUP(AT39,$Q$3:$R$6,2,0)</f>
        <v/>
      </c>
      <c r="AU40" s="216">
        <f>VLOOKUP(AU39,$Q$3:$R$6,2,0)</f>
        <v/>
      </c>
      <c r="AV40" s="216">
        <f>VLOOKUP(AV39,$Q$3:$R$6,2,0)</f>
        <v/>
      </c>
      <c r="AW40" s="216">
        <f>VLOOKUP(AW39,$Q$3:$R$6,2,0)</f>
        <v/>
      </c>
      <c r="AX40" s="216">
        <f>VLOOKUP(AX39,$Q$3:$R$6,2,0)</f>
        <v/>
      </c>
      <c r="AY40" s="216">
        <f>VLOOKUP(AY39,$Q$3:$R$6,2,0)</f>
        <v/>
      </c>
      <c r="AZ40" s="216">
        <f>VLOOKUP(AZ39,$Q$3:$R$6,2,0)</f>
        <v/>
      </c>
      <c r="BA40" s="216">
        <f>VLOOKUP(BA39,$Q$3:$R$6,2,0)</f>
        <v/>
      </c>
      <c r="BB40" s="216">
        <f>VLOOKUP(BB39,$Q$3:$R$6,2,0)</f>
        <v/>
      </c>
      <c r="BC40" s="216">
        <f>VLOOKUP(BC39,$Q$3:$R$6,2,0)</f>
        <v/>
      </c>
      <c r="BD40" s="217">
        <f>VLOOKUP(BD39,$Q$3:$R$6,2,0)</f>
        <v/>
      </c>
      <c r="BE40" s="217">
        <f>VLOOKUP(BE39,$Q$3:$R$6,2,0)</f>
        <v/>
      </c>
      <c r="BF40" s="217">
        <f>VLOOKUP(BF39,$Q$3:$R$6,2,0)</f>
        <v/>
      </c>
      <c r="BG40" s="217">
        <f>VLOOKUP(BG39,$Q$3:$R$6,2,0)</f>
        <v/>
      </c>
      <c r="BH40" s="217">
        <f>VLOOKUP(BH39,$Q$3:$R$6,2,0)</f>
        <v/>
      </c>
      <c r="BI40" s="217">
        <f>VLOOKUP(BI39,$Q$3:$R$6,2,0)</f>
        <v/>
      </c>
      <c r="BJ40" s="217">
        <f>VLOOKUP(BJ39,$Q$3:$R$6,2,0)</f>
        <v/>
      </c>
      <c r="BK40" s="217">
        <f>VLOOKUP(BK39,$Q$3:$R$6,2,0)</f>
        <v/>
      </c>
      <c r="BL40" s="217">
        <f>VLOOKUP(BL39,$Q$3:$R$6,2,0)</f>
        <v/>
      </c>
      <c r="BM40" s="217">
        <f>VLOOKUP(BM39,$Q$3:$R$6,2,0)</f>
        <v/>
      </c>
      <c r="BN40" s="217">
        <f>VLOOKUP(BN39,$Q$3:$R$6,2,0)</f>
        <v/>
      </c>
      <c r="BO40" s="217">
        <f>VLOOKUP(BO39,$Q$3:$R$6,2,0)</f>
        <v/>
      </c>
      <c r="BP40" s="217">
        <f>VLOOKUP(BP39,$Q$3:$R$6,2,0)</f>
        <v/>
      </c>
      <c r="BQ40" s="234" t="n"/>
      <c r="BR40" s="67" t="n"/>
    </row>
    <row r="41" ht="17" customHeight="1" s="165">
      <c r="A41" s="210" t="n"/>
      <c r="B41" s="57" t="inlineStr">
        <is>
          <t>Annual Travel Distance (km)</t>
        </is>
      </c>
      <c r="C41" s="235" t="n">
        <v>600</v>
      </c>
      <c r="D41" s="235" t="n">
        <v>148212</v>
      </c>
      <c r="E41" s="235" t="n">
        <v>137058</v>
      </c>
      <c r="F41" s="235" t="n"/>
      <c r="G41" s="235" t="n"/>
      <c r="H41" s="235" t="n"/>
      <c r="I41" s="235" t="n"/>
      <c r="J41" s="235" t="n"/>
      <c r="K41" s="235" t="n"/>
      <c r="L41" s="235" t="n"/>
      <c r="M41" s="235" t="n"/>
      <c r="N41" s="235" t="n"/>
      <c r="O41" s="235" t="n"/>
      <c r="P41" s="235" t="n"/>
      <c r="Q41" s="235" t="n"/>
      <c r="R41" s="235" t="n"/>
      <c r="S41" s="235" t="n"/>
      <c r="T41" s="235" t="n"/>
      <c r="U41" s="235" t="n"/>
      <c r="V41" s="235" t="n"/>
      <c r="W41" s="235" t="n"/>
      <c r="X41" s="235" t="n"/>
      <c r="Y41" s="235" t="n"/>
      <c r="Z41" s="235" t="n"/>
      <c r="AA41" s="235" t="n"/>
      <c r="AB41" s="235" t="n"/>
      <c r="AC41" s="235" t="n"/>
      <c r="AD41" s="235" t="n"/>
      <c r="AE41" s="235" t="n"/>
      <c r="AF41" s="235" t="n"/>
      <c r="AG41" s="235" t="n"/>
      <c r="AH41" s="235" t="n"/>
      <c r="AI41" s="235" t="n"/>
      <c r="AJ41" s="235" t="n"/>
      <c r="AK41" s="235" t="n"/>
      <c r="AL41" s="235" t="n"/>
      <c r="AM41" s="235" t="n"/>
      <c r="AN41" s="235" t="n"/>
      <c r="AO41" s="235" t="n"/>
      <c r="AP41" s="235" t="n"/>
      <c r="AQ41" s="235" t="n"/>
      <c r="AR41" s="235" t="n"/>
      <c r="AS41" s="235" t="n"/>
      <c r="AT41" s="235" t="n"/>
      <c r="AU41" s="235" t="n"/>
      <c r="AV41" s="235" t="n"/>
      <c r="AW41" s="235" t="n"/>
      <c r="AX41" s="235" t="n"/>
      <c r="AY41" s="235" t="n"/>
      <c r="AZ41" s="235" t="n"/>
      <c r="BA41" s="235" t="n"/>
      <c r="BB41" s="235" t="n"/>
      <c r="BC41" s="235" t="n"/>
      <c r="BD41" s="236" t="n"/>
      <c r="BE41" s="236" t="n"/>
      <c r="BF41" s="236" t="n"/>
      <c r="BG41" s="236" t="n"/>
      <c r="BH41" s="236" t="n"/>
      <c r="BI41" s="236" t="n"/>
      <c r="BJ41" s="236" t="n"/>
      <c r="BK41" s="236" t="n"/>
      <c r="BL41" s="236" t="n"/>
      <c r="BM41" s="236" t="n"/>
      <c r="BN41" s="236" t="n"/>
      <c r="BO41" s="236" t="n"/>
      <c r="BP41" s="236" t="n"/>
      <c r="BQ41" s="234" t="n"/>
      <c r="BR41" s="67" t="n"/>
    </row>
    <row r="42" ht="18.5" customHeight="1" s="165">
      <c r="A42" s="192" t="n"/>
      <c r="B42" s="77" t="inlineStr">
        <is>
          <t>Total Sold Weight (kg)</t>
        </is>
      </c>
      <c r="C42" s="237" t="n">
        <v>10400</v>
      </c>
      <c r="D42" s="237">
        <f>15673705.8/2</f>
        <v/>
      </c>
      <c r="E42" s="237">
        <f>35391633.6/2</f>
        <v/>
      </c>
      <c r="F42" s="78" t="n"/>
      <c r="G42" s="78" t="n"/>
      <c r="H42" s="78" t="n"/>
      <c r="I42" s="78" t="n"/>
      <c r="J42" s="78" t="n"/>
      <c r="K42" s="78" t="n"/>
      <c r="L42" s="78" t="n"/>
      <c r="M42" s="78" t="n"/>
      <c r="N42" s="78" t="n"/>
      <c r="O42" s="78" t="n"/>
      <c r="P42" s="78" t="n"/>
      <c r="Q42" s="78" t="n"/>
      <c r="R42" s="78" t="n"/>
      <c r="S42" s="78" t="n"/>
      <c r="T42" s="78" t="n"/>
      <c r="U42" s="78" t="n"/>
      <c r="V42" s="78" t="n"/>
      <c r="W42" s="78" t="n"/>
      <c r="X42" s="78" t="n"/>
      <c r="Y42" s="78" t="n"/>
      <c r="Z42" s="78" t="n"/>
      <c r="AA42" s="78" t="n"/>
      <c r="AB42" s="78" t="n"/>
      <c r="AC42" s="78" t="n"/>
      <c r="AD42" s="78" t="n"/>
      <c r="AE42" s="78" t="n"/>
      <c r="AF42" s="78" t="n"/>
      <c r="AG42" s="78" t="n"/>
      <c r="AH42" s="78" t="n"/>
      <c r="AI42" s="78" t="n"/>
      <c r="AJ42" s="78" t="n"/>
      <c r="AK42" s="78" t="n"/>
      <c r="AL42" s="78" t="n"/>
      <c r="AM42" s="78" t="n"/>
      <c r="AN42" s="78" t="n"/>
      <c r="AO42" s="78" t="n"/>
      <c r="AP42" s="78" t="n"/>
      <c r="AQ42" s="78" t="n"/>
      <c r="AR42" s="78" t="n"/>
      <c r="AS42" s="78" t="n"/>
      <c r="AT42" s="78" t="n"/>
      <c r="AU42" s="78" t="n"/>
      <c r="AV42" s="78" t="n"/>
      <c r="AW42" s="78" t="n"/>
      <c r="AX42" s="78" t="n"/>
      <c r="AY42" s="78" t="n"/>
      <c r="AZ42" s="78" t="n"/>
      <c r="BA42" s="78" t="n"/>
      <c r="BB42" s="78" t="n"/>
      <c r="BC42" s="78" t="n"/>
      <c r="BD42" s="79" t="n"/>
      <c r="BE42" s="79" t="n"/>
      <c r="BF42" s="79" t="n"/>
      <c r="BG42" s="79" t="n"/>
      <c r="BH42" s="79" t="n"/>
      <c r="BI42" s="79" t="n"/>
      <c r="BJ42" s="79" t="n"/>
      <c r="BK42" s="79" t="n"/>
      <c r="BL42" s="79" t="n"/>
      <c r="BM42" s="79" t="n"/>
      <c r="BN42" s="79" t="n"/>
      <c r="BO42" s="79" t="n"/>
      <c r="BP42" s="79" t="n"/>
      <c r="BQ42" s="198">
        <f t="array" ref="BQ42">SUMPRODUCT(C40:BP40,C41:BP41,C42:BP42/1000)</f>
        <v/>
      </c>
      <c r="BR42" s="199">
        <f>BQ42/1000</f>
        <v/>
      </c>
    </row>
    <row r="43" ht="18.5" customHeight="1" s="165">
      <c r="A43" s="152" t="inlineStr">
        <is>
          <t>Yancheng</t>
        </is>
      </c>
      <c r="B43" s="56" t="inlineStr">
        <is>
          <t>Transport Mode</t>
        </is>
      </c>
      <c r="C43" s="213" t="inlineStr">
        <is>
          <t>Rail</t>
        </is>
      </c>
      <c r="D43" s="213" t="inlineStr">
        <is>
          <t>Truck</t>
        </is>
      </c>
      <c r="E43" s="213" t="inlineStr">
        <is>
          <t>Truck</t>
        </is>
      </c>
      <c r="F43" s="213" t="inlineStr">
        <is>
          <t>Truck</t>
        </is>
      </c>
      <c r="G43" s="213" t="inlineStr">
        <is>
          <t>Truck</t>
        </is>
      </c>
      <c r="H43" s="213" t="inlineStr">
        <is>
          <t>Truck</t>
        </is>
      </c>
      <c r="I43" s="213" t="inlineStr">
        <is>
          <t>Truck</t>
        </is>
      </c>
      <c r="J43" s="213" t="inlineStr">
        <is>
          <t>Truck</t>
        </is>
      </c>
      <c r="K43" s="213" t="inlineStr">
        <is>
          <t>Truck</t>
        </is>
      </c>
      <c r="L43" s="213" t="inlineStr">
        <is>
          <t>Ocean Vessel</t>
        </is>
      </c>
      <c r="M43" s="213" t="inlineStr">
        <is>
          <t>Truck</t>
        </is>
      </c>
      <c r="N43" s="213" t="inlineStr">
        <is>
          <t>Truck</t>
        </is>
      </c>
      <c r="O43" s="213" t="inlineStr">
        <is>
          <t>Truck</t>
        </is>
      </c>
      <c r="P43" s="213" t="inlineStr">
        <is>
          <t>Truck</t>
        </is>
      </c>
      <c r="Q43" s="213" t="inlineStr">
        <is>
          <t>Truck</t>
        </is>
      </c>
      <c r="R43" s="213" t="inlineStr">
        <is>
          <t>Truck</t>
        </is>
      </c>
      <c r="S43" s="213" t="inlineStr">
        <is>
          <t>Truck</t>
        </is>
      </c>
      <c r="T43" s="213" t="inlineStr">
        <is>
          <t>Truck</t>
        </is>
      </c>
      <c r="U43" s="213" t="inlineStr">
        <is>
          <t>Truck</t>
        </is>
      </c>
      <c r="V43" s="213" t="inlineStr">
        <is>
          <t>Truck</t>
        </is>
      </c>
      <c r="W43" s="213" t="inlineStr">
        <is>
          <t>Truck</t>
        </is>
      </c>
      <c r="X43" s="213" t="inlineStr">
        <is>
          <t>Truck</t>
        </is>
      </c>
      <c r="Y43" s="213" t="inlineStr">
        <is>
          <t>Truck</t>
        </is>
      </c>
      <c r="Z43" s="213" t="inlineStr">
        <is>
          <t>Truck</t>
        </is>
      </c>
      <c r="AA43" s="213" t="inlineStr">
        <is>
          <t>Truck</t>
        </is>
      </c>
      <c r="AB43" s="213" t="inlineStr">
        <is>
          <t>Truck</t>
        </is>
      </c>
      <c r="AC43" s="213" t="inlineStr">
        <is>
          <t>Truck</t>
        </is>
      </c>
      <c r="AD43" s="213" t="inlineStr">
        <is>
          <t>Truck</t>
        </is>
      </c>
      <c r="AE43" s="213" t="inlineStr">
        <is>
          <t>Truck</t>
        </is>
      </c>
      <c r="AF43" s="213" t="inlineStr">
        <is>
          <t>Truck</t>
        </is>
      </c>
      <c r="AG43" s="213" t="inlineStr">
        <is>
          <t>Truck</t>
        </is>
      </c>
      <c r="AH43" s="213" t="inlineStr">
        <is>
          <t>Truck</t>
        </is>
      </c>
      <c r="AI43" s="213" t="inlineStr">
        <is>
          <t>Truck</t>
        </is>
      </c>
      <c r="AJ43" s="213" t="inlineStr">
        <is>
          <t>Truck</t>
        </is>
      </c>
      <c r="AK43" s="213" t="inlineStr">
        <is>
          <t>Truck</t>
        </is>
      </c>
      <c r="AL43" s="213" t="inlineStr">
        <is>
          <t>Truck</t>
        </is>
      </c>
      <c r="AM43" s="213" t="inlineStr">
        <is>
          <t>Truck</t>
        </is>
      </c>
      <c r="AN43" s="213" t="inlineStr">
        <is>
          <t>Truck</t>
        </is>
      </c>
      <c r="AO43" s="213" t="inlineStr">
        <is>
          <t>Truck</t>
        </is>
      </c>
      <c r="AP43" s="213" t="inlineStr">
        <is>
          <t>Truck</t>
        </is>
      </c>
      <c r="AQ43" s="213" t="inlineStr">
        <is>
          <t>Truck</t>
        </is>
      </c>
      <c r="AR43" s="213" t="inlineStr">
        <is>
          <t>Truck</t>
        </is>
      </c>
      <c r="AS43" s="213" t="inlineStr">
        <is>
          <t>Truck</t>
        </is>
      </c>
      <c r="AT43" s="213" t="inlineStr">
        <is>
          <t>Truck</t>
        </is>
      </c>
      <c r="AU43" s="213" t="inlineStr">
        <is>
          <t>Truck</t>
        </is>
      </c>
      <c r="AV43" s="213" t="inlineStr">
        <is>
          <t>Truck</t>
        </is>
      </c>
      <c r="AW43" s="213" t="inlineStr">
        <is>
          <t>Truck</t>
        </is>
      </c>
      <c r="AX43" s="213" t="inlineStr">
        <is>
          <t>Truck</t>
        </is>
      </c>
      <c r="AY43" s="213" t="inlineStr">
        <is>
          <t>Truck</t>
        </is>
      </c>
      <c r="AZ43" s="213" t="inlineStr">
        <is>
          <t>Truck</t>
        </is>
      </c>
      <c r="BA43" s="213" t="inlineStr">
        <is>
          <t>Truck</t>
        </is>
      </c>
      <c r="BB43" s="213" t="inlineStr">
        <is>
          <t>Truck</t>
        </is>
      </c>
      <c r="BC43" s="213" t="inlineStr">
        <is>
          <t>Truck</t>
        </is>
      </c>
      <c r="BD43" s="214" t="inlineStr">
        <is>
          <t>Truck</t>
        </is>
      </c>
      <c r="BE43" s="214" t="inlineStr">
        <is>
          <t>Truck</t>
        </is>
      </c>
      <c r="BF43" s="214" t="inlineStr">
        <is>
          <t>Truck</t>
        </is>
      </c>
      <c r="BG43" s="214" t="inlineStr">
        <is>
          <t>Truck</t>
        </is>
      </c>
      <c r="BH43" s="214" t="inlineStr">
        <is>
          <t>Truck</t>
        </is>
      </c>
      <c r="BI43" s="214" t="inlineStr">
        <is>
          <t>Truck</t>
        </is>
      </c>
      <c r="BJ43" s="214" t="inlineStr">
        <is>
          <t>Truck</t>
        </is>
      </c>
      <c r="BK43" s="214" t="inlineStr">
        <is>
          <t>Truck</t>
        </is>
      </c>
      <c r="BL43" s="214" t="inlineStr">
        <is>
          <t>Truck</t>
        </is>
      </c>
      <c r="BM43" s="214" t="inlineStr">
        <is>
          <t>Truck</t>
        </is>
      </c>
      <c r="BN43" s="214" t="inlineStr">
        <is>
          <t>Truck</t>
        </is>
      </c>
      <c r="BO43" s="214" t="inlineStr">
        <is>
          <t>Truck</t>
        </is>
      </c>
      <c r="BP43" s="214" t="inlineStr">
        <is>
          <t>Truck</t>
        </is>
      </c>
      <c r="BQ43" s="70" t="n"/>
      <c r="BR43" s="67" t="n"/>
    </row>
    <row r="44" ht="17" customHeight="1" s="165">
      <c r="A44" s="210" t="n"/>
      <c r="B44" s="152" t="inlineStr">
        <is>
          <t>Emission Factor (Auto)</t>
        </is>
      </c>
      <c r="C44" s="216">
        <f>VLOOKUP(C43,$Q$3:$R$6,2,0)</f>
        <v/>
      </c>
      <c r="D44" s="216">
        <f>VLOOKUP(D43,$Q$3:$R$6,2,0)</f>
        <v/>
      </c>
      <c r="E44" s="216">
        <f>VLOOKUP(E43,$Q$3:$R$6,2,0)</f>
        <v/>
      </c>
      <c r="F44" s="216">
        <f>VLOOKUP(F43,$Q$3:$R$6,2,0)</f>
        <v/>
      </c>
      <c r="G44" s="216">
        <f>VLOOKUP(G43,$Q$3:$R$6,2,0)</f>
        <v/>
      </c>
      <c r="H44" s="216">
        <f>VLOOKUP(H43,$Q$3:$R$6,2,0)</f>
        <v/>
      </c>
      <c r="I44" s="216">
        <f>VLOOKUP(I43,$Q$3:$R$6,2,0)</f>
        <v/>
      </c>
      <c r="J44" s="216">
        <f>VLOOKUP(J43,$Q$3:$R$6,2,0)</f>
        <v/>
      </c>
      <c r="K44" s="216">
        <f>VLOOKUP(K43,$Q$3:$R$6,2,0)</f>
        <v/>
      </c>
      <c r="L44" s="216">
        <f>VLOOKUP(L43,$Q$3:$R$6,2,0)</f>
        <v/>
      </c>
      <c r="M44" s="216">
        <f>VLOOKUP(M43,$Q$3:$R$6,2,0)</f>
        <v/>
      </c>
      <c r="N44" s="216">
        <f>VLOOKUP(N43,$Q$3:$R$6,2,0)</f>
        <v/>
      </c>
      <c r="O44" s="216">
        <f>VLOOKUP(O43,$Q$3:$R$6,2,0)</f>
        <v/>
      </c>
      <c r="P44" s="216">
        <f>VLOOKUP(P43,$Q$3:$R$6,2,0)</f>
        <v/>
      </c>
      <c r="Q44" s="216">
        <f>VLOOKUP(Q43,$Q$3:$R$6,2,0)</f>
        <v/>
      </c>
      <c r="R44" s="216">
        <f>VLOOKUP(R43,$Q$3:$R$6,2,0)</f>
        <v/>
      </c>
      <c r="S44" s="216">
        <f>VLOOKUP(S43,$Q$3:$R$6,2,0)</f>
        <v/>
      </c>
      <c r="T44" s="216">
        <f>VLOOKUP(T43,$Q$3:$R$6,2,0)</f>
        <v/>
      </c>
      <c r="U44" s="216">
        <f>VLOOKUP(U43,$Q$3:$R$6,2,0)</f>
        <v/>
      </c>
      <c r="V44" s="216">
        <f>VLOOKUP(V43,$Q$3:$R$6,2,0)</f>
        <v/>
      </c>
      <c r="W44" s="216">
        <f>VLOOKUP(W43,$Q$3:$R$6,2,0)</f>
        <v/>
      </c>
      <c r="X44" s="216">
        <f>VLOOKUP(X43,$Q$3:$R$6,2,0)</f>
        <v/>
      </c>
      <c r="Y44" s="216">
        <f>VLOOKUP(Y43,$Q$3:$R$6,2,0)</f>
        <v/>
      </c>
      <c r="Z44" s="216">
        <f>VLOOKUP(Z43,$Q$3:$R$6,2,0)</f>
        <v/>
      </c>
      <c r="AA44" s="216">
        <f>VLOOKUP(AA43,$Q$3:$R$6,2,0)</f>
        <v/>
      </c>
      <c r="AB44" s="216">
        <f>VLOOKUP(AB43,$Q$3:$R$6,2,0)</f>
        <v/>
      </c>
      <c r="AC44" s="216">
        <f>VLOOKUP(AC43,$Q$3:$R$6,2,0)</f>
        <v/>
      </c>
      <c r="AD44" s="216">
        <f>VLOOKUP(AD43,$Q$3:$R$6,2,0)</f>
        <v/>
      </c>
      <c r="AE44" s="216">
        <f>VLOOKUP(AE43,$Q$3:$R$6,2,0)</f>
        <v/>
      </c>
      <c r="AF44" s="216">
        <f>VLOOKUP(AF43,$Q$3:$R$6,2,0)</f>
        <v/>
      </c>
      <c r="AG44" s="216">
        <f>VLOOKUP(AG43,$Q$3:$R$6,2,0)</f>
        <v/>
      </c>
      <c r="AH44" s="216">
        <f>VLOOKUP(AH43,$Q$3:$R$6,2,0)</f>
        <v/>
      </c>
      <c r="AI44" s="216">
        <f>VLOOKUP(AI43,$Q$3:$R$6,2,0)</f>
        <v/>
      </c>
      <c r="AJ44" s="216">
        <f>VLOOKUP(AJ43,$Q$3:$R$6,2,0)</f>
        <v/>
      </c>
      <c r="AK44" s="216">
        <f>VLOOKUP(AK43,$Q$3:$R$6,2,0)</f>
        <v/>
      </c>
      <c r="AL44" s="216">
        <f>VLOOKUP(AL43,$Q$3:$R$6,2,0)</f>
        <v/>
      </c>
      <c r="AM44" s="216">
        <f>VLOOKUP(AM43,$Q$3:$R$6,2,0)</f>
        <v/>
      </c>
      <c r="AN44" s="216">
        <f>VLOOKUP(AN43,$Q$3:$R$6,2,0)</f>
        <v/>
      </c>
      <c r="AO44" s="216">
        <f>VLOOKUP(AO43,$Q$3:$R$6,2,0)</f>
        <v/>
      </c>
      <c r="AP44" s="216">
        <f>VLOOKUP(AP43,$Q$3:$R$6,2,0)</f>
        <v/>
      </c>
      <c r="AQ44" s="216">
        <f>VLOOKUP(AQ43,$Q$3:$R$6,2,0)</f>
        <v/>
      </c>
      <c r="AR44" s="216">
        <f>VLOOKUP(AR43,$Q$3:$R$6,2,0)</f>
        <v/>
      </c>
      <c r="AS44" s="216">
        <f>VLOOKUP(AS43,$Q$3:$R$6,2,0)</f>
        <v/>
      </c>
      <c r="AT44" s="216">
        <f>VLOOKUP(AT43,$Q$3:$R$6,2,0)</f>
        <v/>
      </c>
      <c r="AU44" s="216">
        <f>VLOOKUP(AU43,$Q$3:$R$6,2,0)</f>
        <v/>
      </c>
      <c r="AV44" s="216">
        <f>VLOOKUP(AV43,$Q$3:$R$6,2,0)</f>
        <v/>
      </c>
      <c r="AW44" s="216">
        <f>VLOOKUP(AW43,$Q$3:$R$6,2,0)</f>
        <v/>
      </c>
      <c r="AX44" s="216">
        <f>VLOOKUP(AX43,$Q$3:$R$6,2,0)</f>
        <v/>
      </c>
      <c r="AY44" s="216">
        <f>VLOOKUP(AY43,$Q$3:$R$6,2,0)</f>
        <v/>
      </c>
      <c r="AZ44" s="216">
        <f>VLOOKUP(AZ43,$Q$3:$R$6,2,0)</f>
        <v/>
      </c>
      <c r="BA44" s="216">
        <f>VLOOKUP(BA43,$Q$3:$R$6,2,0)</f>
        <v/>
      </c>
      <c r="BB44" s="216">
        <f>VLOOKUP(BB43,$Q$3:$R$6,2,0)</f>
        <v/>
      </c>
      <c r="BC44" s="216">
        <f>VLOOKUP(BC43,$Q$3:$R$6,2,0)</f>
        <v/>
      </c>
      <c r="BD44" s="217">
        <f>VLOOKUP(BD43,$Q$3:$R$6,2,0)</f>
        <v/>
      </c>
      <c r="BE44" s="217">
        <f>VLOOKUP(BE43,$Q$3:$R$6,2,0)</f>
        <v/>
      </c>
      <c r="BF44" s="217">
        <f>VLOOKUP(BF43,$Q$3:$R$6,2,0)</f>
        <v/>
      </c>
      <c r="BG44" s="217">
        <f>VLOOKUP(BG43,$Q$3:$R$6,2,0)</f>
        <v/>
      </c>
      <c r="BH44" s="217">
        <f>VLOOKUP(BH43,$Q$3:$R$6,2,0)</f>
        <v/>
      </c>
      <c r="BI44" s="217">
        <f>VLOOKUP(BI43,$Q$3:$R$6,2,0)</f>
        <v/>
      </c>
      <c r="BJ44" s="217">
        <f>VLOOKUP(BJ43,$Q$3:$R$6,2,0)</f>
        <v/>
      </c>
      <c r="BK44" s="217">
        <f>VLOOKUP(BK43,$Q$3:$R$6,2,0)</f>
        <v/>
      </c>
      <c r="BL44" s="217">
        <f>VLOOKUP(BL43,$Q$3:$R$6,2,0)</f>
        <v/>
      </c>
      <c r="BM44" s="217">
        <f>VLOOKUP(BM43,$Q$3:$R$6,2,0)</f>
        <v/>
      </c>
      <c r="BN44" s="217">
        <f>VLOOKUP(BN43,$Q$3:$R$6,2,0)</f>
        <v/>
      </c>
      <c r="BO44" s="217">
        <f>VLOOKUP(BO43,$Q$3:$R$6,2,0)</f>
        <v/>
      </c>
      <c r="BP44" s="217">
        <f>VLOOKUP(BP43,$Q$3:$R$6,2,0)</f>
        <v/>
      </c>
      <c r="BQ44" s="234" t="n"/>
      <c r="BR44" s="67" t="n"/>
    </row>
    <row r="45" ht="17" customHeight="1" s="165">
      <c r="A45" s="210" t="n"/>
      <c r="B45" s="57" t="inlineStr">
        <is>
          <t>Annual Travel Distance (km)</t>
        </is>
      </c>
      <c r="C45" s="235" t="n"/>
      <c r="D45" s="235" t="n"/>
      <c r="E45" s="235" t="n">
        <v>9582</v>
      </c>
      <c r="F45" s="235" t="n">
        <v>4431</v>
      </c>
      <c r="G45" s="235" t="n"/>
      <c r="H45" s="235" t="n"/>
      <c r="I45" s="235" t="n">
        <v>2237</v>
      </c>
      <c r="J45" s="235" t="n"/>
      <c r="K45" s="235" t="n"/>
      <c r="L45" s="235" t="n"/>
      <c r="M45" s="235" t="n"/>
      <c r="N45" s="235" t="n"/>
      <c r="O45" s="235" t="n"/>
      <c r="P45" s="235" t="n"/>
      <c r="Q45" s="235" t="n"/>
      <c r="R45" s="235" t="n"/>
      <c r="S45" s="235" t="n"/>
      <c r="T45" s="235" t="n"/>
      <c r="U45" s="235" t="n"/>
      <c r="V45" s="235" t="n"/>
      <c r="W45" s="235" t="n"/>
      <c r="X45" s="235" t="n"/>
      <c r="Y45" s="235" t="n"/>
      <c r="Z45" s="235" t="n"/>
      <c r="AA45" s="235" t="n"/>
      <c r="AB45" s="235" t="n"/>
      <c r="AC45" s="235" t="n"/>
      <c r="AD45" s="235" t="n"/>
      <c r="AE45" s="235" t="n"/>
      <c r="AF45" s="235" t="n"/>
      <c r="AG45" s="235" t="n"/>
      <c r="AH45" s="235" t="n"/>
      <c r="AI45" s="235" t="n"/>
      <c r="AJ45" s="235" t="n"/>
      <c r="AK45" s="235" t="n"/>
      <c r="AL45" s="235" t="n"/>
      <c r="AM45" s="235" t="n"/>
      <c r="AN45" s="235" t="n"/>
      <c r="AO45" s="235" t="n"/>
      <c r="AP45" s="235" t="n"/>
      <c r="AQ45" s="235" t="n"/>
      <c r="AR45" s="235" t="n"/>
      <c r="AS45" s="235" t="n"/>
      <c r="AT45" s="235" t="n"/>
      <c r="AU45" s="235" t="n"/>
      <c r="AV45" s="235" t="n"/>
      <c r="AW45" s="235" t="n"/>
      <c r="AX45" s="235" t="n"/>
      <c r="AY45" s="235" t="n"/>
      <c r="AZ45" s="235" t="n"/>
      <c r="BA45" s="235" t="n"/>
      <c r="BB45" s="235" t="n"/>
      <c r="BC45" s="235" t="n"/>
      <c r="BD45" s="236" t="n"/>
      <c r="BE45" s="236" t="n"/>
      <c r="BF45" s="236" t="n"/>
      <c r="BG45" s="236" t="n"/>
      <c r="BH45" s="236" t="n"/>
      <c r="BI45" s="236" t="n"/>
      <c r="BJ45" s="236" t="n"/>
      <c r="BK45" s="236" t="n"/>
      <c r="BL45" s="236" t="n"/>
      <c r="BM45" s="236" t="n"/>
      <c r="BN45" s="236" t="n"/>
      <c r="BO45" s="236" t="n"/>
      <c r="BP45" s="236" t="n"/>
      <c r="BQ45" s="234" t="n"/>
      <c r="BR45" s="67" t="n"/>
    </row>
    <row r="46" ht="18.5" customHeight="1" s="165">
      <c r="A46" s="192" t="n"/>
      <c r="B46" s="77" t="inlineStr">
        <is>
          <t>Total Sold Weight (kg)</t>
        </is>
      </c>
      <c r="C46" s="78" t="n"/>
      <c r="D46" s="78" t="n"/>
      <c r="E46" s="237" t="n">
        <v>2906292.919999999</v>
      </c>
      <c r="F46" s="237" t="n">
        <v>289651.66</v>
      </c>
      <c r="G46" s="78" t="n"/>
      <c r="H46" s="78" t="n"/>
      <c r="I46" s="237" t="n">
        <v>37829.5</v>
      </c>
      <c r="J46" s="78" t="n"/>
      <c r="K46" s="78" t="n"/>
      <c r="L46" s="78" t="n"/>
      <c r="M46" s="78" t="n"/>
      <c r="N46" s="78" t="n"/>
      <c r="O46" s="78" t="n"/>
      <c r="P46" s="78" t="n"/>
      <c r="Q46" s="78" t="n"/>
      <c r="R46" s="78" t="n"/>
      <c r="S46" s="78" t="n"/>
      <c r="T46" s="78" t="n"/>
      <c r="U46" s="78" t="n"/>
      <c r="V46" s="78" t="n"/>
      <c r="W46" s="78" t="n"/>
      <c r="X46" s="78" t="n"/>
      <c r="Y46" s="78" t="n"/>
      <c r="Z46" s="78" t="n"/>
      <c r="AA46" s="78" t="n"/>
      <c r="AB46" s="78" t="n"/>
      <c r="AC46" s="78" t="n"/>
      <c r="AD46" s="78" t="n"/>
      <c r="AE46" s="78" t="n"/>
      <c r="AF46" s="78" t="n"/>
      <c r="AG46" s="78" t="n"/>
      <c r="AH46" s="78" t="n"/>
      <c r="AI46" s="78" t="n"/>
      <c r="AJ46" s="78" t="n"/>
      <c r="AK46" s="78" t="n"/>
      <c r="AL46" s="78" t="n"/>
      <c r="AM46" s="78" t="n"/>
      <c r="AN46" s="78" t="n"/>
      <c r="AO46" s="78" t="n"/>
      <c r="AP46" s="78" t="n"/>
      <c r="AQ46" s="78" t="n"/>
      <c r="AR46" s="78" t="n"/>
      <c r="AS46" s="78" t="n"/>
      <c r="AT46" s="78" t="n"/>
      <c r="AU46" s="78" t="n"/>
      <c r="AV46" s="78" t="n"/>
      <c r="AW46" s="78" t="n"/>
      <c r="AX46" s="78" t="n"/>
      <c r="AY46" s="78" t="n"/>
      <c r="AZ46" s="78" t="n"/>
      <c r="BA46" s="78" t="n"/>
      <c r="BB46" s="78" t="n"/>
      <c r="BC46" s="78" t="n"/>
      <c r="BD46" s="79" t="n"/>
      <c r="BE46" s="79" t="n"/>
      <c r="BF46" s="79" t="n"/>
      <c r="BG46" s="79" t="n"/>
      <c r="BH46" s="79" t="n"/>
      <c r="BI46" s="79" t="n"/>
      <c r="BJ46" s="79" t="n"/>
      <c r="BK46" s="79" t="n"/>
      <c r="BL46" s="79" t="n"/>
      <c r="BM46" s="79" t="n"/>
      <c r="BN46" s="79" t="n"/>
      <c r="BO46" s="79" t="n"/>
      <c r="BP46" s="79" t="n"/>
      <c r="BQ46" s="198">
        <f t="array" ref="BQ46">SUMPRODUCT(C44:BP44,C45:BP45,C46:BP46/1000)</f>
        <v/>
      </c>
      <c r="BR46" s="199">
        <f>BQ46/1000</f>
        <v/>
      </c>
    </row>
    <row r="47" ht="18.5" customHeight="1" s="165">
      <c r="A47" s="152" t="inlineStr">
        <is>
          <t>Mannur</t>
        </is>
      </c>
      <c r="B47" s="56" t="inlineStr">
        <is>
          <t>Transport Mode</t>
        </is>
      </c>
      <c r="C47" s="213" t="inlineStr">
        <is>
          <t>Rail</t>
        </is>
      </c>
      <c r="D47" s="213" t="inlineStr">
        <is>
          <t>Truck</t>
        </is>
      </c>
      <c r="E47" s="213" t="inlineStr">
        <is>
          <t>Truck</t>
        </is>
      </c>
      <c r="F47" s="213" t="inlineStr">
        <is>
          <t>Truck</t>
        </is>
      </c>
      <c r="G47" s="213" t="inlineStr">
        <is>
          <t>Truck</t>
        </is>
      </c>
      <c r="H47" s="213" t="inlineStr">
        <is>
          <t>Truck</t>
        </is>
      </c>
      <c r="I47" s="213" t="inlineStr">
        <is>
          <t>Truck</t>
        </is>
      </c>
      <c r="J47" s="213" t="inlineStr">
        <is>
          <t>Truck</t>
        </is>
      </c>
      <c r="K47" s="213" t="inlineStr">
        <is>
          <t>Truck</t>
        </is>
      </c>
      <c r="L47" s="213" t="inlineStr">
        <is>
          <t>Ocean Vessel</t>
        </is>
      </c>
      <c r="M47" s="213" t="inlineStr">
        <is>
          <t>Truck</t>
        </is>
      </c>
      <c r="N47" s="213" t="inlineStr">
        <is>
          <t>Truck</t>
        </is>
      </c>
      <c r="O47" s="213" t="inlineStr">
        <is>
          <t>Truck</t>
        </is>
      </c>
      <c r="P47" s="213" t="inlineStr">
        <is>
          <t>Truck</t>
        </is>
      </c>
      <c r="Q47" s="213" t="inlineStr">
        <is>
          <t>Truck</t>
        </is>
      </c>
      <c r="R47" s="213" t="inlineStr">
        <is>
          <t>Truck</t>
        </is>
      </c>
      <c r="S47" s="213" t="inlineStr">
        <is>
          <t>Truck</t>
        </is>
      </c>
      <c r="T47" s="213" t="inlineStr">
        <is>
          <t>Truck</t>
        </is>
      </c>
      <c r="U47" s="213" t="inlineStr">
        <is>
          <t>Truck</t>
        </is>
      </c>
      <c r="V47" s="213" t="inlineStr">
        <is>
          <t>Truck</t>
        </is>
      </c>
      <c r="W47" s="213" t="inlineStr">
        <is>
          <t>Truck</t>
        </is>
      </c>
      <c r="X47" s="213" t="inlineStr">
        <is>
          <t>Truck</t>
        </is>
      </c>
      <c r="Y47" s="213" t="inlineStr">
        <is>
          <t>Truck</t>
        </is>
      </c>
      <c r="Z47" s="213" t="inlineStr">
        <is>
          <t>Truck</t>
        </is>
      </c>
      <c r="AA47" s="213" t="inlineStr">
        <is>
          <t>Truck</t>
        </is>
      </c>
      <c r="AB47" s="213" t="inlineStr">
        <is>
          <t>Truck</t>
        </is>
      </c>
      <c r="AC47" s="213" t="inlineStr">
        <is>
          <t>Truck</t>
        </is>
      </c>
      <c r="AD47" s="213" t="inlineStr">
        <is>
          <t>Truck</t>
        </is>
      </c>
      <c r="AE47" s="213" t="inlineStr">
        <is>
          <t>Truck</t>
        </is>
      </c>
      <c r="AF47" s="213" t="inlineStr">
        <is>
          <t>Truck</t>
        </is>
      </c>
      <c r="AG47" s="213" t="inlineStr">
        <is>
          <t>Truck</t>
        </is>
      </c>
      <c r="AH47" s="213" t="inlineStr">
        <is>
          <t>Truck</t>
        </is>
      </c>
      <c r="AI47" s="213" t="inlineStr">
        <is>
          <t>Truck</t>
        </is>
      </c>
      <c r="AJ47" s="213" t="inlineStr">
        <is>
          <t>Truck</t>
        </is>
      </c>
      <c r="AK47" s="213" t="inlineStr">
        <is>
          <t>Truck</t>
        </is>
      </c>
      <c r="AL47" s="213" t="inlineStr">
        <is>
          <t>Truck</t>
        </is>
      </c>
      <c r="AM47" s="213" t="inlineStr">
        <is>
          <t>Truck</t>
        </is>
      </c>
      <c r="AN47" s="213" t="inlineStr">
        <is>
          <t>Truck</t>
        </is>
      </c>
      <c r="AO47" s="213" t="inlineStr">
        <is>
          <t>Truck</t>
        </is>
      </c>
      <c r="AP47" s="213" t="inlineStr">
        <is>
          <t>Truck</t>
        </is>
      </c>
      <c r="AQ47" s="213" t="inlineStr">
        <is>
          <t>Truck</t>
        </is>
      </c>
      <c r="AR47" s="213" t="inlineStr">
        <is>
          <t>Truck</t>
        </is>
      </c>
      <c r="AS47" s="213" t="inlineStr">
        <is>
          <t>Truck</t>
        </is>
      </c>
      <c r="AT47" s="213" t="inlineStr">
        <is>
          <t>Truck</t>
        </is>
      </c>
      <c r="AU47" s="213" t="inlineStr">
        <is>
          <t>Truck</t>
        </is>
      </c>
      <c r="AV47" s="213" t="inlineStr">
        <is>
          <t>Truck</t>
        </is>
      </c>
      <c r="AW47" s="213" t="inlineStr">
        <is>
          <t>Truck</t>
        </is>
      </c>
      <c r="AX47" s="213" t="inlineStr">
        <is>
          <t>Truck</t>
        </is>
      </c>
      <c r="AY47" s="213" t="inlineStr">
        <is>
          <t>Truck</t>
        </is>
      </c>
      <c r="AZ47" s="213" t="inlineStr">
        <is>
          <t>Truck</t>
        </is>
      </c>
      <c r="BA47" s="213" t="inlineStr">
        <is>
          <t>Truck</t>
        </is>
      </c>
      <c r="BB47" s="213" t="inlineStr">
        <is>
          <t>Truck</t>
        </is>
      </c>
      <c r="BC47" s="213" t="inlineStr">
        <is>
          <t>Truck</t>
        </is>
      </c>
      <c r="BD47" s="214" t="inlineStr">
        <is>
          <t>Truck</t>
        </is>
      </c>
      <c r="BE47" s="214" t="inlineStr">
        <is>
          <t>Truck</t>
        </is>
      </c>
      <c r="BF47" s="214" t="inlineStr">
        <is>
          <t>Truck</t>
        </is>
      </c>
      <c r="BG47" s="214" t="inlineStr">
        <is>
          <t>Truck</t>
        </is>
      </c>
      <c r="BH47" s="214" t="inlineStr">
        <is>
          <t>Truck</t>
        </is>
      </c>
      <c r="BI47" s="214" t="inlineStr">
        <is>
          <t>Truck</t>
        </is>
      </c>
      <c r="BJ47" s="214" t="inlineStr">
        <is>
          <t>Truck</t>
        </is>
      </c>
      <c r="BK47" s="214" t="inlineStr">
        <is>
          <t>Truck</t>
        </is>
      </c>
      <c r="BL47" s="214" t="inlineStr">
        <is>
          <t>Truck</t>
        </is>
      </c>
      <c r="BM47" s="214" t="inlineStr">
        <is>
          <t>Truck</t>
        </is>
      </c>
      <c r="BN47" s="214" t="inlineStr">
        <is>
          <t>Truck</t>
        </is>
      </c>
      <c r="BO47" s="214" t="inlineStr">
        <is>
          <t>Truck</t>
        </is>
      </c>
      <c r="BP47" s="214" t="inlineStr">
        <is>
          <t>Truck</t>
        </is>
      </c>
      <c r="BQ47" s="70" t="n"/>
      <c r="BR47" s="67" t="n"/>
    </row>
    <row r="48" ht="17" customHeight="1" s="165">
      <c r="A48" s="210" t="n"/>
      <c r="B48" s="152" t="inlineStr">
        <is>
          <t>Emission Factor (Auto)</t>
        </is>
      </c>
      <c r="C48" s="216">
        <f>VLOOKUP(C47,$Q$3:$R$6,2,0)</f>
        <v/>
      </c>
      <c r="D48" s="216">
        <f>VLOOKUP(D47,$Q$3:$R$6,2,0)</f>
        <v/>
      </c>
      <c r="E48" s="216">
        <f>VLOOKUP(E47,$Q$3:$R$6,2,0)</f>
        <v/>
      </c>
      <c r="F48" s="216">
        <f>VLOOKUP(F47,$Q$3:$R$6,2,0)</f>
        <v/>
      </c>
      <c r="G48" s="216">
        <f>VLOOKUP(G47,$Q$3:$R$6,2,0)</f>
        <v/>
      </c>
      <c r="H48" s="216">
        <f>VLOOKUP(H47,$Q$3:$R$6,2,0)</f>
        <v/>
      </c>
      <c r="I48" s="216">
        <f>VLOOKUP(I47,$Q$3:$R$6,2,0)</f>
        <v/>
      </c>
      <c r="J48" s="216">
        <f>VLOOKUP(J47,$Q$3:$R$6,2,0)</f>
        <v/>
      </c>
      <c r="K48" s="216">
        <f>VLOOKUP(K47,$Q$3:$R$6,2,0)</f>
        <v/>
      </c>
      <c r="L48" s="216">
        <f>VLOOKUP(L47,$Q$3:$R$6,2,0)</f>
        <v/>
      </c>
      <c r="M48" s="216">
        <f>VLOOKUP(M47,$Q$3:$R$6,2,0)</f>
        <v/>
      </c>
      <c r="N48" s="216">
        <f>VLOOKUP(N47,$Q$3:$R$6,2,0)</f>
        <v/>
      </c>
      <c r="O48" s="216">
        <f>VLOOKUP(O47,$Q$3:$R$6,2,0)</f>
        <v/>
      </c>
      <c r="P48" s="216">
        <f>VLOOKUP(P47,$Q$3:$R$6,2,0)</f>
        <v/>
      </c>
      <c r="Q48" s="216">
        <f>VLOOKUP(Q47,$Q$3:$R$6,2,0)</f>
        <v/>
      </c>
      <c r="R48" s="216">
        <f>VLOOKUP(R47,$Q$3:$R$6,2,0)</f>
        <v/>
      </c>
      <c r="S48" s="216">
        <f>VLOOKUP(S47,$Q$3:$R$6,2,0)</f>
        <v/>
      </c>
      <c r="T48" s="216">
        <f>VLOOKUP(T47,$Q$3:$R$6,2,0)</f>
        <v/>
      </c>
      <c r="U48" s="216">
        <f>VLOOKUP(U47,$Q$3:$R$6,2,0)</f>
        <v/>
      </c>
      <c r="V48" s="216">
        <f>VLOOKUP(V47,$Q$3:$R$6,2,0)</f>
        <v/>
      </c>
      <c r="W48" s="216">
        <f>VLOOKUP(W47,$Q$3:$R$6,2,0)</f>
        <v/>
      </c>
      <c r="X48" s="216">
        <f>VLOOKUP(X47,$Q$3:$R$6,2,0)</f>
        <v/>
      </c>
      <c r="Y48" s="216">
        <f>VLOOKUP(Y47,$Q$3:$R$6,2,0)</f>
        <v/>
      </c>
      <c r="Z48" s="216">
        <f>VLOOKUP(Z47,$Q$3:$R$6,2,0)</f>
        <v/>
      </c>
      <c r="AA48" s="216">
        <f>VLOOKUP(AA47,$Q$3:$R$6,2,0)</f>
        <v/>
      </c>
      <c r="AB48" s="216">
        <f>VLOOKUP(AB47,$Q$3:$R$6,2,0)</f>
        <v/>
      </c>
      <c r="AC48" s="216">
        <f>VLOOKUP(AC47,$Q$3:$R$6,2,0)</f>
        <v/>
      </c>
      <c r="AD48" s="216">
        <f>VLOOKUP(AD47,$Q$3:$R$6,2,0)</f>
        <v/>
      </c>
      <c r="AE48" s="216">
        <f>VLOOKUP(AE47,$Q$3:$R$6,2,0)</f>
        <v/>
      </c>
      <c r="AF48" s="216">
        <f>VLOOKUP(AF47,$Q$3:$R$6,2,0)</f>
        <v/>
      </c>
      <c r="AG48" s="216">
        <f>VLOOKUP(AG47,$Q$3:$R$6,2,0)</f>
        <v/>
      </c>
      <c r="AH48" s="216">
        <f>VLOOKUP(AH47,$Q$3:$R$6,2,0)</f>
        <v/>
      </c>
      <c r="AI48" s="216">
        <f>VLOOKUP(AI47,$Q$3:$R$6,2,0)</f>
        <v/>
      </c>
      <c r="AJ48" s="216">
        <f>VLOOKUP(AJ47,$Q$3:$R$6,2,0)</f>
        <v/>
      </c>
      <c r="AK48" s="216">
        <f>VLOOKUP(AK47,$Q$3:$R$6,2,0)</f>
        <v/>
      </c>
      <c r="AL48" s="216">
        <f>VLOOKUP(AL47,$Q$3:$R$6,2,0)</f>
        <v/>
      </c>
      <c r="AM48" s="216">
        <f>VLOOKUP(AM47,$Q$3:$R$6,2,0)</f>
        <v/>
      </c>
      <c r="AN48" s="216">
        <f>VLOOKUP(AN47,$Q$3:$R$6,2,0)</f>
        <v/>
      </c>
      <c r="AO48" s="216">
        <f>VLOOKUP(AO47,$Q$3:$R$6,2,0)</f>
        <v/>
      </c>
      <c r="AP48" s="216">
        <f>VLOOKUP(AP47,$Q$3:$R$6,2,0)</f>
        <v/>
      </c>
      <c r="AQ48" s="216">
        <f>VLOOKUP(AQ47,$Q$3:$R$6,2,0)</f>
        <v/>
      </c>
      <c r="AR48" s="216">
        <f>VLOOKUP(AR47,$Q$3:$R$6,2,0)</f>
        <v/>
      </c>
      <c r="AS48" s="216">
        <f>VLOOKUP(AS47,$Q$3:$R$6,2,0)</f>
        <v/>
      </c>
      <c r="AT48" s="216">
        <f>VLOOKUP(AT47,$Q$3:$R$6,2,0)</f>
        <v/>
      </c>
      <c r="AU48" s="216">
        <f>VLOOKUP(AU47,$Q$3:$R$6,2,0)</f>
        <v/>
      </c>
      <c r="AV48" s="216">
        <f>VLOOKUP(AV47,$Q$3:$R$6,2,0)</f>
        <v/>
      </c>
      <c r="AW48" s="216">
        <f>VLOOKUP(AW47,$Q$3:$R$6,2,0)</f>
        <v/>
      </c>
      <c r="AX48" s="216">
        <f>VLOOKUP(AX47,$Q$3:$R$6,2,0)</f>
        <v/>
      </c>
      <c r="AY48" s="216">
        <f>VLOOKUP(AY47,$Q$3:$R$6,2,0)</f>
        <v/>
      </c>
      <c r="AZ48" s="216">
        <f>VLOOKUP(AZ47,$Q$3:$R$6,2,0)</f>
        <v/>
      </c>
      <c r="BA48" s="216">
        <f>VLOOKUP(BA47,$Q$3:$R$6,2,0)</f>
        <v/>
      </c>
      <c r="BB48" s="216">
        <f>VLOOKUP(BB47,$Q$3:$R$6,2,0)</f>
        <v/>
      </c>
      <c r="BC48" s="216">
        <f>VLOOKUP(BC47,$Q$3:$R$6,2,0)</f>
        <v/>
      </c>
      <c r="BD48" s="217">
        <f>VLOOKUP(BD47,$Q$3:$R$6,2,0)</f>
        <v/>
      </c>
      <c r="BE48" s="217">
        <f>VLOOKUP(BE47,$Q$3:$R$6,2,0)</f>
        <v/>
      </c>
      <c r="BF48" s="217">
        <f>VLOOKUP(BF47,$Q$3:$R$6,2,0)</f>
        <v/>
      </c>
      <c r="BG48" s="217">
        <f>VLOOKUP(BG47,$Q$3:$R$6,2,0)</f>
        <v/>
      </c>
      <c r="BH48" s="217">
        <f>VLOOKUP(BH47,$Q$3:$R$6,2,0)</f>
        <v/>
      </c>
      <c r="BI48" s="217">
        <f>VLOOKUP(BI47,$Q$3:$R$6,2,0)</f>
        <v/>
      </c>
      <c r="BJ48" s="217">
        <f>VLOOKUP(BJ47,$Q$3:$R$6,2,0)</f>
        <v/>
      </c>
      <c r="BK48" s="217">
        <f>VLOOKUP(BK47,$Q$3:$R$6,2,0)</f>
        <v/>
      </c>
      <c r="BL48" s="217">
        <f>VLOOKUP(BL47,$Q$3:$R$6,2,0)</f>
        <v/>
      </c>
      <c r="BM48" s="217">
        <f>VLOOKUP(BM47,$Q$3:$R$6,2,0)</f>
        <v/>
      </c>
      <c r="BN48" s="217">
        <f>VLOOKUP(BN47,$Q$3:$R$6,2,0)</f>
        <v/>
      </c>
      <c r="BO48" s="217">
        <f>VLOOKUP(BO47,$Q$3:$R$6,2,0)</f>
        <v/>
      </c>
      <c r="BP48" s="217">
        <f>VLOOKUP(BP47,$Q$3:$R$6,2,0)</f>
        <v/>
      </c>
      <c r="BQ48" s="234" t="n"/>
      <c r="BR48" s="67" t="n"/>
    </row>
    <row r="49" ht="17" customHeight="1" s="165">
      <c r="A49" s="210" t="n"/>
      <c r="B49" s="57" t="inlineStr">
        <is>
          <t>Annual Travel Distance (km)</t>
        </is>
      </c>
      <c r="C49" s="235" t="n"/>
      <c r="D49" s="235" t="n">
        <v>231504</v>
      </c>
      <c r="E49" s="235" t="n"/>
      <c r="F49" s="235" t="n">
        <v>30360</v>
      </c>
      <c r="G49" s="235" t="n">
        <v>359904</v>
      </c>
      <c r="H49" s="235" t="n"/>
      <c r="I49" s="235" t="n"/>
      <c r="J49" s="235" t="n">
        <v>9</v>
      </c>
      <c r="K49" s="235" t="n"/>
      <c r="L49" s="235" t="n"/>
      <c r="M49" s="235" t="n"/>
      <c r="N49" s="235" t="n"/>
      <c r="O49" s="235" t="n"/>
      <c r="P49" s="235" t="n"/>
      <c r="Q49" s="235" t="n"/>
      <c r="R49" s="235" t="n"/>
      <c r="S49" s="235" t="n"/>
      <c r="T49" s="235" t="n"/>
      <c r="U49" s="235" t="n"/>
      <c r="V49" s="235" t="n"/>
      <c r="W49" s="235" t="n"/>
      <c r="X49" s="235" t="n"/>
      <c r="Y49" s="235" t="n"/>
      <c r="Z49" s="235" t="n"/>
      <c r="AA49" s="235" t="n"/>
      <c r="AB49" s="235" t="n"/>
      <c r="AC49" s="235" t="n"/>
      <c r="AD49" s="235" t="n"/>
      <c r="AE49" s="235" t="n"/>
      <c r="AF49" s="235" t="n"/>
      <c r="AG49" s="235" t="n"/>
      <c r="AH49" s="235" t="n"/>
      <c r="AI49" s="235" t="n"/>
      <c r="AJ49" s="235" t="n"/>
      <c r="AK49" s="235" t="n"/>
      <c r="AL49" s="235" t="n"/>
      <c r="AM49" s="235" t="n"/>
      <c r="AN49" s="235" t="n"/>
      <c r="AO49" s="235" t="n"/>
      <c r="AP49" s="235" t="n"/>
      <c r="AQ49" s="235" t="n"/>
      <c r="AR49" s="235" t="n"/>
      <c r="AS49" s="235" t="n"/>
      <c r="AT49" s="235" t="n"/>
      <c r="AU49" s="235" t="n"/>
      <c r="AV49" s="235" t="n"/>
      <c r="AW49" s="235" t="n"/>
      <c r="AX49" s="235" t="n"/>
      <c r="AY49" s="235" t="n"/>
      <c r="AZ49" s="235" t="n"/>
      <c r="BA49" s="235" t="n"/>
      <c r="BB49" s="235" t="n"/>
      <c r="BC49" s="235" t="n"/>
      <c r="BD49" s="236" t="n">
        <v>7218</v>
      </c>
      <c r="BE49" s="236" t="n">
        <v>48840</v>
      </c>
      <c r="BF49" s="236" t="n"/>
      <c r="BG49" s="236" t="n"/>
      <c r="BH49" s="236" t="n"/>
      <c r="BI49" s="236" t="n"/>
      <c r="BJ49" s="236" t="n">
        <v>296</v>
      </c>
      <c r="BK49" s="236" t="n"/>
      <c r="BL49" s="236" t="n"/>
      <c r="BM49" s="236" t="n"/>
      <c r="BN49" s="236" t="n"/>
      <c r="BO49" s="236" t="n"/>
      <c r="BP49" s="236" t="n"/>
      <c r="BQ49" s="234" t="n"/>
      <c r="BR49" s="67" t="n"/>
    </row>
    <row r="50" ht="18.5" customHeight="1" s="165">
      <c r="A50" s="192" t="n"/>
      <c r="B50" s="77" t="inlineStr">
        <is>
          <t>Total Sold Weight (kg)</t>
        </is>
      </c>
      <c r="C50" s="78" t="n"/>
      <c r="D50" s="78" t="n">
        <v>13665435.378</v>
      </c>
      <c r="E50" s="78" t="n"/>
      <c r="F50" s="78" t="n">
        <v>432620.194</v>
      </c>
      <c r="G50" s="78" t="n">
        <v>4698351.239</v>
      </c>
      <c r="H50" s="78" t="n"/>
      <c r="I50" s="78" t="n"/>
      <c r="J50" s="78" t="n">
        <v>22024.065</v>
      </c>
      <c r="K50" s="78" t="n"/>
      <c r="L50" s="78" t="n"/>
      <c r="M50" s="78" t="n"/>
      <c r="N50" s="78" t="n"/>
      <c r="O50" s="78" t="n"/>
      <c r="P50" s="78" t="n"/>
      <c r="Q50" s="78" t="n"/>
      <c r="R50" s="78" t="n"/>
      <c r="S50" s="78" t="n"/>
      <c r="T50" s="78" t="n"/>
      <c r="U50" s="78" t="n"/>
      <c r="V50" s="78" t="n"/>
      <c r="W50" s="78" t="n"/>
      <c r="X50" s="78" t="n"/>
      <c r="Y50" s="78" t="n"/>
      <c r="Z50" s="78" t="n"/>
      <c r="AA50" s="78" t="n"/>
      <c r="AB50" s="78" t="n"/>
      <c r="AC50" s="78" t="n"/>
      <c r="AD50" s="78" t="n"/>
      <c r="AE50" s="78" t="n"/>
      <c r="AF50" s="78" t="n"/>
      <c r="AG50" s="78" t="n"/>
      <c r="AH50" s="78" t="n"/>
      <c r="AI50" s="78" t="n"/>
      <c r="AJ50" s="78" t="n"/>
      <c r="AK50" s="78" t="n"/>
      <c r="AL50" s="78" t="n"/>
      <c r="AM50" s="78" t="n"/>
      <c r="AN50" s="78" t="n"/>
      <c r="AO50" s="78" t="n"/>
      <c r="AP50" s="78" t="n"/>
      <c r="AQ50" s="78" t="n"/>
      <c r="AR50" s="78" t="n"/>
      <c r="AS50" s="78" t="n"/>
      <c r="AT50" s="78" t="n"/>
      <c r="AU50" s="78" t="n"/>
      <c r="AV50" s="78" t="n"/>
      <c r="AW50" s="78" t="n"/>
      <c r="AX50" s="78" t="n"/>
      <c r="AY50" s="78" t="n"/>
      <c r="AZ50" s="78" t="n"/>
      <c r="BA50" s="78" t="n"/>
      <c r="BB50" s="78" t="n"/>
      <c r="BC50" s="78" t="n"/>
      <c r="BD50" s="79" t="n">
        <v>312177.401</v>
      </c>
      <c r="BE50" s="79" t="n">
        <v>221116.822</v>
      </c>
      <c r="BF50" s="79" t="n"/>
      <c r="BG50" s="79" t="n"/>
      <c r="BH50" s="79" t="n"/>
      <c r="BI50" s="79" t="n"/>
      <c r="BJ50" s="79" t="n">
        <v>99342.17200000001</v>
      </c>
      <c r="BK50" s="79" t="n"/>
      <c r="BL50" s="79" t="n"/>
      <c r="BM50" s="79" t="n"/>
      <c r="BN50" s="79" t="n"/>
      <c r="BO50" s="79" t="n"/>
      <c r="BP50" s="79" t="n"/>
      <c r="BQ50" s="198">
        <f t="array" ref="BQ50">SUMPRODUCT(C48:BP48,C49:BP49,C50:BP50/1000)</f>
        <v/>
      </c>
      <c r="BR50" s="199">
        <f>BQ50/1000</f>
        <v/>
      </c>
    </row>
    <row r="51" ht="18.5" customHeight="1" s="165">
      <c r="A51" s="152" t="inlineStr">
        <is>
          <t>Orgadam</t>
        </is>
      </c>
      <c r="B51" s="56" t="inlineStr">
        <is>
          <t>Transport Mode</t>
        </is>
      </c>
      <c r="C51" s="213" t="inlineStr">
        <is>
          <t>Rail</t>
        </is>
      </c>
      <c r="D51" s="213" t="inlineStr">
        <is>
          <t>Truck</t>
        </is>
      </c>
      <c r="E51" s="213" t="inlineStr">
        <is>
          <t>Truck</t>
        </is>
      </c>
      <c r="F51" s="213" t="inlineStr">
        <is>
          <t>Air</t>
        </is>
      </c>
      <c r="G51" s="213" t="inlineStr">
        <is>
          <t>Truck</t>
        </is>
      </c>
      <c r="H51" s="213" t="inlineStr">
        <is>
          <t>Truck</t>
        </is>
      </c>
      <c r="I51" s="213" t="inlineStr">
        <is>
          <t>Truck</t>
        </is>
      </c>
      <c r="J51" s="213" t="inlineStr">
        <is>
          <t>Truck</t>
        </is>
      </c>
      <c r="K51" s="213" t="inlineStr">
        <is>
          <t>Truck</t>
        </is>
      </c>
      <c r="L51" s="213" t="inlineStr">
        <is>
          <t>Ocean Vessel</t>
        </is>
      </c>
      <c r="M51" s="213" t="inlineStr">
        <is>
          <t>Truck</t>
        </is>
      </c>
      <c r="N51" s="213" t="inlineStr">
        <is>
          <t>Truck</t>
        </is>
      </c>
      <c r="O51" s="213" t="inlineStr">
        <is>
          <t>Truck</t>
        </is>
      </c>
      <c r="P51" s="213" t="inlineStr">
        <is>
          <t>Truck</t>
        </is>
      </c>
      <c r="Q51" s="213" t="inlineStr">
        <is>
          <t>Truck</t>
        </is>
      </c>
      <c r="R51" s="213" t="inlineStr">
        <is>
          <t>Truck</t>
        </is>
      </c>
      <c r="S51" s="213" t="inlineStr">
        <is>
          <t>Truck</t>
        </is>
      </c>
      <c r="T51" s="213" t="inlineStr">
        <is>
          <t>Truck</t>
        </is>
      </c>
      <c r="U51" s="213" t="inlineStr">
        <is>
          <t>Truck</t>
        </is>
      </c>
      <c r="V51" s="213" t="inlineStr">
        <is>
          <t>Truck</t>
        </is>
      </c>
      <c r="W51" s="213" t="inlineStr">
        <is>
          <t>Truck</t>
        </is>
      </c>
      <c r="X51" s="213" t="inlineStr">
        <is>
          <t>Truck</t>
        </is>
      </c>
      <c r="Y51" s="213" t="inlineStr">
        <is>
          <t>Truck</t>
        </is>
      </c>
      <c r="Z51" s="213" t="inlineStr">
        <is>
          <t>Truck</t>
        </is>
      </c>
      <c r="AA51" s="213" t="inlineStr">
        <is>
          <t>Truck</t>
        </is>
      </c>
      <c r="AB51" s="213" t="inlineStr">
        <is>
          <t>Truck</t>
        </is>
      </c>
      <c r="AC51" s="213" t="inlineStr">
        <is>
          <t>Truck</t>
        </is>
      </c>
      <c r="AD51" s="213" t="inlineStr">
        <is>
          <t>Truck</t>
        </is>
      </c>
      <c r="AE51" s="213" t="inlineStr">
        <is>
          <t>Truck</t>
        </is>
      </c>
      <c r="AF51" s="213" t="inlineStr">
        <is>
          <t>Truck</t>
        </is>
      </c>
      <c r="AG51" s="213" t="inlineStr">
        <is>
          <t>Truck</t>
        </is>
      </c>
      <c r="AH51" s="213" t="inlineStr">
        <is>
          <t>Truck</t>
        </is>
      </c>
      <c r="AI51" s="213" t="inlineStr">
        <is>
          <t>Truck</t>
        </is>
      </c>
      <c r="AJ51" s="213" t="inlineStr">
        <is>
          <t>Truck</t>
        </is>
      </c>
      <c r="AK51" s="213" t="inlineStr">
        <is>
          <t>Truck</t>
        </is>
      </c>
      <c r="AL51" s="213" t="inlineStr">
        <is>
          <t>Truck</t>
        </is>
      </c>
      <c r="AM51" s="213" t="inlineStr">
        <is>
          <t>Truck</t>
        </is>
      </c>
      <c r="AN51" s="213" t="inlineStr">
        <is>
          <t>Truck</t>
        </is>
      </c>
      <c r="AO51" s="213" t="inlineStr">
        <is>
          <t>Truck</t>
        </is>
      </c>
      <c r="AP51" s="213" t="inlineStr">
        <is>
          <t>Truck</t>
        </is>
      </c>
      <c r="AQ51" s="213" t="inlineStr">
        <is>
          <t>Truck</t>
        </is>
      </c>
      <c r="AR51" s="213" t="inlineStr">
        <is>
          <t>Truck</t>
        </is>
      </c>
      <c r="AS51" s="213" t="inlineStr">
        <is>
          <t>Truck</t>
        </is>
      </c>
      <c r="AT51" s="213" t="inlineStr">
        <is>
          <t>Truck</t>
        </is>
      </c>
      <c r="AU51" s="213" t="inlineStr">
        <is>
          <t>Truck</t>
        </is>
      </c>
      <c r="AV51" s="213" t="inlineStr">
        <is>
          <t>Truck</t>
        </is>
      </c>
      <c r="AW51" s="213" t="inlineStr">
        <is>
          <t>Truck</t>
        </is>
      </c>
      <c r="AX51" s="213" t="inlineStr">
        <is>
          <t>Truck</t>
        </is>
      </c>
      <c r="AY51" s="213" t="inlineStr">
        <is>
          <t>Truck</t>
        </is>
      </c>
      <c r="AZ51" s="213" t="inlineStr">
        <is>
          <t>Truck</t>
        </is>
      </c>
      <c r="BA51" s="213" t="inlineStr">
        <is>
          <t>Truck</t>
        </is>
      </c>
      <c r="BB51" s="213" t="inlineStr">
        <is>
          <t>Truck</t>
        </is>
      </c>
      <c r="BC51" s="213" t="inlineStr">
        <is>
          <t>Truck</t>
        </is>
      </c>
      <c r="BD51" s="214" t="inlineStr">
        <is>
          <t>Truck</t>
        </is>
      </c>
      <c r="BE51" s="214" t="inlineStr">
        <is>
          <t>Truck</t>
        </is>
      </c>
      <c r="BF51" s="214" t="inlineStr">
        <is>
          <t>Truck</t>
        </is>
      </c>
      <c r="BG51" s="214" t="inlineStr">
        <is>
          <t>Truck</t>
        </is>
      </c>
      <c r="BH51" s="214" t="inlineStr">
        <is>
          <t>Truck</t>
        </is>
      </c>
      <c r="BI51" s="214" t="inlineStr">
        <is>
          <t>Truck</t>
        </is>
      </c>
      <c r="BJ51" s="214" t="inlineStr">
        <is>
          <t>Truck</t>
        </is>
      </c>
      <c r="BK51" s="214" t="inlineStr">
        <is>
          <t>Truck</t>
        </is>
      </c>
      <c r="BL51" s="214" t="inlineStr">
        <is>
          <t>Truck</t>
        </is>
      </c>
      <c r="BM51" s="214" t="inlineStr">
        <is>
          <t>Truck</t>
        </is>
      </c>
      <c r="BN51" s="214" t="inlineStr">
        <is>
          <t>Truck</t>
        </is>
      </c>
      <c r="BO51" s="214" t="inlineStr">
        <is>
          <t>Truck</t>
        </is>
      </c>
      <c r="BP51" s="214" t="inlineStr">
        <is>
          <t>Truck</t>
        </is>
      </c>
      <c r="BQ51" s="70" t="n"/>
      <c r="BR51" s="67" t="n"/>
    </row>
    <row r="52" ht="17" customHeight="1" s="165">
      <c r="A52" s="210" t="n"/>
      <c r="B52" s="152" t="inlineStr">
        <is>
          <t>Emission Factor (Auto)</t>
        </is>
      </c>
      <c r="C52" s="216">
        <f>VLOOKUP(C51,$Q$3:$R$6,2,0)</f>
        <v/>
      </c>
      <c r="D52" s="216">
        <f>VLOOKUP(D51,$Q$3:$R$6,2,0)</f>
        <v/>
      </c>
      <c r="E52" s="216">
        <f>VLOOKUP(E51,$Q$3:$R$6,2,0)</f>
        <v/>
      </c>
      <c r="F52" s="216">
        <f>VLOOKUP(F51,$Q$3:$R$6,2,0)</f>
        <v/>
      </c>
      <c r="G52" s="216">
        <f>VLOOKUP(G51,$Q$3:$R$6,2,0)</f>
        <v/>
      </c>
      <c r="H52" s="216">
        <f>VLOOKUP(H51,$Q$3:$R$6,2,0)</f>
        <v/>
      </c>
      <c r="I52" s="216">
        <f>VLOOKUP(I51,$Q$3:$R$6,2,0)</f>
        <v/>
      </c>
      <c r="J52" s="216">
        <f>VLOOKUP(J51,$Q$3:$R$6,2,0)</f>
        <v/>
      </c>
      <c r="K52" s="216">
        <f>VLOOKUP(K51,$Q$3:$R$6,2,0)</f>
        <v/>
      </c>
      <c r="L52" s="216">
        <f>VLOOKUP(L51,$Q$3:$R$6,2,0)</f>
        <v/>
      </c>
      <c r="M52" s="216">
        <f>VLOOKUP(M51,$Q$3:$R$6,2,0)</f>
        <v/>
      </c>
      <c r="N52" s="216">
        <f>VLOOKUP(N51,$Q$3:$R$6,2,0)</f>
        <v/>
      </c>
      <c r="O52" s="216">
        <f>VLOOKUP(O51,$Q$3:$R$6,2,0)</f>
        <v/>
      </c>
      <c r="P52" s="216">
        <f>VLOOKUP(P51,$Q$3:$R$6,2,0)</f>
        <v/>
      </c>
      <c r="Q52" s="216">
        <f>VLOOKUP(Q51,$Q$3:$R$6,2,0)</f>
        <v/>
      </c>
      <c r="R52" s="216">
        <f>VLOOKUP(R51,$Q$3:$R$6,2,0)</f>
        <v/>
      </c>
      <c r="S52" s="216">
        <f>VLOOKUP(S51,$Q$3:$R$6,2,0)</f>
        <v/>
      </c>
      <c r="T52" s="216">
        <f>VLOOKUP(T51,$Q$3:$R$6,2,0)</f>
        <v/>
      </c>
      <c r="U52" s="216">
        <f>VLOOKUP(U51,$Q$3:$R$6,2,0)</f>
        <v/>
      </c>
      <c r="V52" s="216">
        <f>VLOOKUP(V51,$Q$3:$R$6,2,0)</f>
        <v/>
      </c>
      <c r="W52" s="216">
        <f>VLOOKUP(W51,$Q$3:$R$6,2,0)</f>
        <v/>
      </c>
      <c r="X52" s="216">
        <f>VLOOKUP(X51,$Q$3:$R$6,2,0)</f>
        <v/>
      </c>
      <c r="Y52" s="216">
        <f>VLOOKUP(Y51,$Q$3:$R$6,2,0)</f>
        <v/>
      </c>
      <c r="Z52" s="216">
        <f>VLOOKUP(Z51,$Q$3:$R$6,2,0)</f>
        <v/>
      </c>
      <c r="AA52" s="216">
        <f>VLOOKUP(AA51,$Q$3:$R$6,2,0)</f>
        <v/>
      </c>
      <c r="AB52" s="216">
        <f>VLOOKUP(AB51,$Q$3:$R$6,2,0)</f>
        <v/>
      </c>
      <c r="AC52" s="216">
        <f>VLOOKUP(AC51,$Q$3:$R$6,2,0)</f>
        <v/>
      </c>
      <c r="AD52" s="216">
        <f>VLOOKUP(AD51,$Q$3:$R$6,2,0)</f>
        <v/>
      </c>
      <c r="AE52" s="216">
        <f>VLOOKUP(AE51,$Q$3:$R$6,2,0)</f>
        <v/>
      </c>
      <c r="AF52" s="216">
        <f>VLOOKUP(AF51,$Q$3:$R$6,2,0)</f>
        <v/>
      </c>
      <c r="AG52" s="216">
        <f>VLOOKUP(AG51,$Q$3:$R$6,2,0)</f>
        <v/>
      </c>
      <c r="AH52" s="216">
        <f>VLOOKUP(AH51,$Q$3:$R$6,2,0)</f>
        <v/>
      </c>
      <c r="AI52" s="216">
        <f>VLOOKUP(AI51,$Q$3:$R$6,2,0)</f>
        <v/>
      </c>
      <c r="AJ52" s="216">
        <f>VLOOKUP(AJ51,$Q$3:$R$6,2,0)</f>
        <v/>
      </c>
      <c r="AK52" s="216">
        <f>VLOOKUP(AK51,$Q$3:$R$6,2,0)</f>
        <v/>
      </c>
      <c r="AL52" s="216">
        <f>VLOOKUP(AL51,$Q$3:$R$6,2,0)</f>
        <v/>
      </c>
      <c r="AM52" s="216">
        <f>VLOOKUP(AM51,$Q$3:$R$6,2,0)</f>
        <v/>
      </c>
      <c r="AN52" s="216">
        <f>VLOOKUP(AN51,$Q$3:$R$6,2,0)</f>
        <v/>
      </c>
      <c r="AO52" s="216">
        <f>VLOOKUP(AO51,$Q$3:$R$6,2,0)</f>
        <v/>
      </c>
      <c r="AP52" s="216">
        <f>VLOOKUP(AP51,$Q$3:$R$6,2,0)</f>
        <v/>
      </c>
      <c r="AQ52" s="216">
        <f>VLOOKUP(AQ51,$Q$3:$R$6,2,0)</f>
        <v/>
      </c>
      <c r="AR52" s="216">
        <f>VLOOKUP(AR51,$Q$3:$R$6,2,0)</f>
        <v/>
      </c>
      <c r="AS52" s="216">
        <f>VLOOKUP(AS51,$Q$3:$R$6,2,0)</f>
        <v/>
      </c>
      <c r="AT52" s="216">
        <f>VLOOKUP(AT51,$Q$3:$R$6,2,0)</f>
        <v/>
      </c>
      <c r="AU52" s="216">
        <f>VLOOKUP(AU51,$Q$3:$R$6,2,0)</f>
        <v/>
      </c>
      <c r="AV52" s="216">
        <f>VLOOKUP(AV51,$Q$3:$R$6,2,0)</f>
        <v/>
      </c>
      <c r="AW52" s="216">
        <f>VLOOKUP(AW51,$Q$3:$R$6,2,0)</f>
        <v/>
      </c>
      <c r="AX52" s="216">
        <f>VLOOKUP(AX51,$Q$3:$R$6,2,0)</f>
        <v/>
      </c>
      <c r="AY52" s="216">
        <f>VLOOKUP(AY51,$Q$3:$R$6,2,0)</f>
        <v/>
      </c>
      <c r="AZ52" s="216">
        <f>VLOOKUP(AZ51,$Q$3:$R$6,2,0)</f>
        <v/>
      </c>
      <c r="BA52" s="216">
        <f>VLOOKUP(BA51,$Q$3:$R$6,2,0)</f>
        <v/>
      </c>
      <c r="BB52" s="216">
        <f>VLOOKUP(BB51,$Q$3:$R$6,2,0)</f>
        <v/>
      </c>
      <c r="BC52" s="216">
        <f>VLOOKUP(BC51,$Q$3:$R$6,2,0)</f>
        <v/>
      </c>
      <c r="BD52" s="217">
        <f>VLOOKUP(BD51,$Q$3:$R$6,2,0)</f>
        <v/>
      </c>
      <c r="BE52" s="217">
        <f>VLOOKUP(BE51,$Q$3:$R$6,2,0)</f>
        <v/>
      </c>
      <c r="BF52" s="217">
        <f>VLOOKUP(BF51,$Q$3:$R$6,2,0)</f>
        <v/>
      </c>
      <c r="BG52" s="217">
        <f>VLOOKUP(BG51,$Q$3:$R$6,2,0)</f>
        <v/>
      </c>
      <c r="BH52" s="217">
        <f>VLOOKUP(BH51,$Q$3:$R$6,2,0)</f>
        <v/>
      </c>
      <c r="BI52" s="217">
        <f>VLOOKUP(BI51,$Q$3:$R$6,2,0)</f>
        <v/>
      </c>
      <c r="BJ52" s="217">
        <f>VLOOKUP(BJ51,$Q$3:$R$6,2,0)</f>
        <v/>
      </c>
      <c r="BK52" s="217">
        <f>VLOOKUP(BK51,$Q$3:$R$6,2,0)</f>
        <v/>
      </c>
      <c r="BL52" s="217">
        <f>VLOOKUP(BL51,$Q$3:$R$6,2,0)</f>
        <v/>
      </c>
      <c r="BM52" s="217">
        <f>VLOOKUP(BM51,$Q$3:$R$6,2,0)</f>
        <v/>
      </c>
      <c r="BN52" s="217">
        <f>VLOOKUP(BN51,$Q$3:$R$6,2,0)</f>
        <v/>
      </c>
      <c r="BO52" s="217">
        <f>VLOOKUP(BO51,$Q$3:$R$6,2,0)</f>
        <v/>
      </c>
      <c r="BP52" s="217">
        <f>VLOOKUP(BP51,$Q$3:$R$6,2,0)</f>
        <v/>
      </c>
      <c r="BQ52" s="234" t="n"/>
      <c r="BR52" s="67" t="n"/>
    </row>
    <row r="53" ht="17" customHeight="1" s="165">
      <c r="A53" s="210" t="n"/>
      <c r="B53" s="57" t="inlineStr">
        <is>
          <t>Annual Travel Distance (km)</t>
        </is>
      </c>
      <c r="C53" s="235" t="n"/>
      <c r="D53" s="235" t="n"/>
      <c r="E53" s="235" t="n"/>
      <c r="F53" s="235" t="n"/>
      <c r="G53" s="235" t="n"/>
      <c r="H53" s="235" t="n"/>
      <c r="I53" s="235" t="n"/>
      <c r="J53" s="235" t="n"/>
      <c r="K53" s="235" t="n"/>
      <c r="L53" s="235" t="n"/>
      <c r="M53" s="235" t="n"/>
      <c r="N53" s="235" t="n"/>
      <c r="O53" s="235" t="n"/>
      <c r="P53" s="235" t="n"/>
      <c r="Q53" s="235" t="n"/>
      <c r="R53" s="235" t="n"/>
      <c r="S53" s="235" t="n"/>
      <c r="T53" s="235" t="n"/>
      <c r="U53" s="235" t="n"/>
      <c r="V53" s="235" t="n"/>
      <c r="W53" s="235" t="n"/>
      <c r="X53" s="235" t="n"/>
      <c r="Y53" s="235" t="n"/>
      <c r="Z53" s="235" t="n"/>
      <c r="AA53" s="235" t="n"/>
      <c r="AB53" s="235" t="n"/>
      <c r="AC53" s="235" t="n"/>
      <c r="AD53" s="235" t="n"/>
      <c r="AE53" s="235" t="n"/>
      <c r="AF53" s="235" t="n"/>
      <c r="AG53" s="235" t="n"/>
      <c r="AH53" s="235" t="n"/>
      <c r="AI53" s="235" t="n"/>
      <c r="AJ53" s="235" t="n"/>
      <c r="AK53" s="235" t="n"/>
      <c r="AL53" s="235" t="n"/>
      <c r="AM53" s="235" t="n"/>
      <c r="AN53" s="235" t="n"/>
      <c r="AO53" s="235" t="n"/>
      <c r="AP53" s="235" t="n"/>
      <c r="AQ53" s="235" t="n"/>
      <c r="AR53" s="235" t="n"/>
      <c r="AS53" s="235" t="n"/>
      <c r="AT53" s="235" t="n"/>
      <c r="AU53" s="235" t="n"/>
      <c r="AV53" s="235" t="n"/>
      <c r="AW53" s="235" t="n"/>
      <c r="AX53" s="235" t="n"/>
      <c r="AY53" s="235" t="n"/>
      <c r="AZ53" s="235" t="n"/>
      <c r="BA53" s="235" t="n"/>
      <c r="BB53" s="235" t="n"/>
      <c r="BC53" s="235" t="n"/>
      <c r="BD53" s="236" t="n">
        <v>328</v>
      </c>
      <c r="BE53" s="236" t="n"/>
      <c r="BF53" s="236" t="n">
        <v>141916</v>
      </c>
      <c r="BG53" s="236" t="n">
        <v>7957</v>
      </c>
      <c r="BH53" s="236" t="n">
        <v>8480</v>
      </c>
      <c r="BI53" s="236" t="n">
        <v>210</v>
      </c>
      <c r="BJ53" s="236" t="n"/>
      <c r="BK53" s="236" t="n"/>
      <c r="BL53" s="236" t="n"/>
      <c r="BM53" s="236" t="n"/>
      <c r="BN53" s="236" t="n"/>
      <c r="BO53" s="236" t="n"/>
      <c r="BP53" s="236" t="n"/>
      <c r="BQ53" s="234" t="n"/>
      <c r="BR53" s="67" t="n"/>
    </row>
    <row r="54" ht="18.5" customHeight="1" s="165">
      <c r="A54" s="192" t="n"/>
      <c r="B54" s="77" t="inlineStr">
        <is>
          <t>Total Sold Weight (kg)</t>
        </is>
      </c>
      <c r="C54" s="78" t="n"/>
      <c r="D54" s="78" t="n"/>
      <c r="E54" s="78" t="n"/>
      <c r="F54" s="78" t="n"/>
      <c r="G54" s="78" t="n"/>
      <c r="H54" s="78" t="n"/>
      <c r="I54" s="78" t="n"/>
      <c r="J54" s="78" t="n"/>
      <c r="K54" s="78" t="n"/>
      <c r="L54" s="78" t="n"/>
      <c r="M54" s="78" t="n"/>
      <c r="N54" s="78" t="n"/>
      <c r="O54" s="78" t="n"/>
      <c r="P54" s="78" t="n"/>
      <c r="Q54" s="78" t="n"/>
      <c r="R54" s="78" t="n"/>
      <c r="S54" s="78" t="n"/>
      <c r="T54" s="78" t="n"/>
      <c r="U54" s="78" t="n"/>
      <c r="V54" s="78" t="n"/>
      <c r="W54" s="78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8" t="n"/>
      <c r="AK54" s="78" t="n"/>
      <c r="AL54" s="78" t="n"/>
      <c r="AM54" s="78" t="n"/>
      <c r="AN54" s="78" t="n"/>
      <c r="AO54" s="78" t="n"/>
      <c r="AP54" s="78" t="n"/>
      <c r="AQ54" s="78" t="n"/>
      <c r="AR54" s="78" t="n"/>
      <c r="AS54" s="78" t="n"/>
      <c r="AT54" s="78" t="n"/>
      <c r="AU54" s="78" t="n"/>
      <c r="AV54" s="78" t="n"/>
      <c r="AW54" s="78" t="n"/>
      <c r="AX54" s="78" t="n"/>
      <c r="AY54" s="78" t="n"/>
      <c r="AZ54" s="78" t="n"/>
      <c r="BA54" s="78" t="n"/>
      <c r="BB54" s="78" t="n"/>
      <c r="BC54" s="78" t="n"/>
      <c r="BD54" s="79" t="n">
        <v>29328.42</v>
      </c>
      <c r="BE54" s="79" t="n"/>
      <c r="BF54" s="79" t="n">
        <v>4734233.7</v>
      </c>
      <c r="BG54" s="79" t="n">
        <v>963569.03</v>
      </c>
      <c r="BH54" s="79" t="n">
        <v>117697.16</v>
      </c>
      <c r="BI54" s="79" t="n">
        <v>4255.36</v>
      </c>
      <c r="BJ54" s="79" t="n"/>
      <c r="BK54" s="79" t="n"/>
      <c r="BL54" s="79" t="n"/>
      <c r="BM54" s="79" t="n"/>
      <c r="BN54" s="79" t="n"/>
      <c r="BO54" s="79" t="n"/>
      <c r="BP54" s="79" t="n"/>
      <c r="BQ54" s="198">
        <f t="array" ref="BQ54">SUMPRODUCT(C52:BP52,C53:BP53,C54:BP54/1000)</f>
        <v/>
      </c>
      <c r="BR54" s="199">
        <f>BQ54/1000</f>
        <v/>
      </c>
    </row>
    <row r="55" ht="18.5" customHeight="1" s="165">
      <c r="A55" s="152" t="inlineStr">
        <is>
          <t>Bangalore</t>
        </is>
      </c>
      <c r="B55" s="56" t="inlineStr">
        <is>
          <t>Transport Mode</t>
        </is>
      </c>
      <c r="C55" s="213" t="inlineStr">
        <is>
          <t>Rail</t>
        </is>
      </c>
      <c r="D55" s="213" t="inlineStr">
        <is>
          <t>Truck</t>
        </is>
      </c>
      <c r="E55" s="213" t="inlineStr">
        <is>
          <t>Truck</t>
        </is>
      </c>
      <c r="F55" s="213" t="inlineStr">
        <is>
          <t>Air</t>
        </is>
      </c>
      <c r="G55" s="213" t="inlineStr">
        <is>
          <t>Truck</t>
        </is>
      </c>
      <c r="H55" s="213" t="inlineStr">
        <is>
          <t>Truck</t>
        </is>
      </c>
      <c r="I55" s="213" t="inlineStr">
        <is>
          <t>Truck</t>
        </is>
      </c>
      <c r="J55" s="213" t="inlineStr">
        <is>
          <t>Truck</t>
        </is>
      </c>
      <c r="K55" s="213" t="inlineStr">
        <is>
          <t>Truck</t>
        </is>
      </c>
      <c r="L55" s="213" t="inlineStr">
        <is>
          <t>Ocean Vessel</t>
        </is>
      </c>
      <c r="M55" s="213" t="inlineStr">
        <is>
          <t>Truck</t>
        </is>
      </c>
      <c r="N55" s="213" t="inlineStr">
        <is>
          <t>Truck</t>
        </is>
      </c>
      <c r="O55" s="213" t="inlineStr">
        <is>
          <t>Truck</t>
        </is>
      </c>
      <c r="P55" s="213" t="inlineStr">
        <is>
          <t>Truck</t>
        </is>
      </c>
      <c r="Q55" s="213" t="inlineStr">
        <is>
          <t>Truck</t>
        </is>
      </c>
      <c r="R55" s="213" t="inlineStr">
        <is>
          <t>Truck</t>
        </is>
      </c>
      <c r="S55" s="213" t="inlineStr">
        <is>
          <t>Truck</t>
        </is>
      </c>
      <c r="T55" s="213" t="inlineStr">
        <is>
          <t>Truck</t>
        </is>
      </c>
      <c r="U55" s="213" t="inlineStr">
        <is>
          <t>Truck</t>
        </is>
      </c>
      <c r="V55" s="213" t="inlineStr">
        <is>
          <t>Truck</t>
        </is>
      </c>
      <c r="W55" s="213" t="inlineStr">
        <is>
          <t>Truck</t>
        </is>
      </c>
      <c r="X55" s="213" t="inlineStr">
        <is>
          <t>Truck</t>
        </is>
      </c>
      <c r="Y55" s="213" t="inlineStr">
        <is>
          <t>Truck</t>
        </is>
      </c>
      <c r="Z55" s="213" t="inlineStr">
        <is>
          <t>Truck</t>
        </is>
      </c>
      <c r="AA55" s="213" t="inlineStr">
        <is>
          <t>Truck</t>
        </is>
      </c>
      <c r="AB55" s="213" t="inlineStr">
        <is>
          <t>Truck</t>
        </is>
      </c>
      <c r="AC55" s="213" t="inlineStr">
        <is>
          <t>Truck</t>
        </is>
      </c>
      <c r="AD55" s="213" t="inlineStr">
        <is>
          <t>Truck</t>
        </is>
      </c>
      <c r="AE55" s="213" t="inlineStr">
        <is>
          <t>Truck</t>
        </is>
      </c>
      <c r="AF55" s="213" t="inlineStr">
        <is>
          <t>Truck</t>
        </is>
      </c>
      <c r="AG55" s="213" t="inlineStr">
        <is>
          <t>Truck</t>
        </is>
      </c>
      <c r="AH55" s="213" t="inlineStr">
        <is>
          <t>Truck</t>
        </is>
      </c>
      <c r="AI55" s="213" t="inlineStr">
        <is>
          <t>Truck</t>
        </is>
      </c>
      <c r="AJ55" s="213" t="inlineStr">
        <is>
          <t>Truck</t>
        </is>
      </c>
      <c r="AK55" s="213" t="inlineStr">
        <is>
          <t>Truck</t>
        </is>
      </c>
      <c r="AL55" s="213" t="inlineStr">
        <is>
          <t>Truck</t>
        </is>
      </c>
      <c r="AM55" s="213" t="inlineStr">
        <is>
          <t>Truck</t>
        </is>
      </c>
      <c r="AN55" s="213" t="inlineStr">
        <is>
          <t>Truck</t>
        </is>
      </c>
      <c r="AO55" s="213" t="inlineStr">
        <is>
          <t>Truck</t>
        </is>
      </c>
      <c r="AP55" s="213" t="inlineStr">
        <is>
          <t>Truck</t>
        </is>
      </c>
      <c r="AQ55" s="213" t="inlineStr">
        <is>
          <t>Truck</t>
        </is>
      </c>
      <c r="AR55" s="213" t="inlineStr">
        <is>
          <t>Truck</t>
        </is>
      </c>
      <c r="AS55" s="213" t="inlineStr">
        <is>
          <t>Truck</t>
        </is>
      </c>
      <c r="AT55" s="213" t="inlineStr">
        <is>
          <t>Truck</t>
        </is>
      </c>
      <c r="AU55" s="213" t="inlineStr">
        <is>
          <t>Truck</t>
        </is>
      </c>
      <c r="AV55" s="213" t="inlineStr">
        <is>
          <t>Truck</t>
        </is>
      </c>
      <c r="AW55" s="213" t="inlineStr">
        <is>
          <t>Truck</t>
        </is>
      </c>
      <c r="AX55" s="213" t="inlineStr">
        <is>
          <t>Truck</t>
        </is>
      </c>
      <c r="AY55" s="213" t="inlineStr">
        <is>
          <t>Truck</t>
        </is>
      </c>
      <c r="AZ55" s="213" t="inlineStr">
        <is>
          <t>Truck</t>
        </is>
      </c>
      <c r="BA55" s="213" t="inlineStr">
        <is>
          <t>Truck</t>
        </is>
      </c>
      <c r="BB55" s="213" t="inlineStr">
        <is>
          <t>Truck</t>
        </is>
      </c>
      <c r="BC55" s="213" t="inlineStr">
        <is>
          <t>Truck</t>
        </is>
      </c>
      <c r="BD55" s="214" t="inlineStr">
        <is>
          <t>Truck</t>
        </is>
      </c>
      <c r="BE55" s="214" t="inlineStr">
        <is>
          <t>Truck</t>
        </is>
      </c>
      <c r="BF55" s="214" t="inlineStr">
        <is>
          <t>Truck</t>
        </is>
      </c>
      <c r="BG55" s="214" t="inlineStr">
        <is>
          <t>Truck</t>
        </is>
      </c>
      <c r="BH55" s="214" t="inlineStr">
        <is>
          <t>Truck</t>
        </is>
      </c>
      <c r="BI55" s="214" t="inlineStr">
        <is>
          <t>Truck</t>
        </is>
      </c>
      <c r="BJ55" s="214" t="inlineStr">
        <is>
          <t>Truck</t>
        </is>
      </c>
      <c r="BK55" s="214" t="inlineStr">
        <is>
          <t>Truck</t>
        </is>
      </c>
      <c r="BL55" s="214" t="inlineStr">
        <is>
          <t>Truck</t>
        </is>
      </c>
      <c r="BM55" s="214" t="inlineStr">
        <is>
          <t>Truck</t>
        </is>
      </c>
      <c r="BN55" s="214" t="inlineStr">
        <is>
          <t>Truck</t>
        </is>
      </c>
      <c r="BO55" s="214" t="inlineStr">
        <is>
          <t>Truck</t>
        </is>
      </c>
      <c r="BP55" s="214" t="inlineStr">
        <is>
          <t>Truck</t>
        </is>
      </c>
      <c r="BQ55" s="70" t="n"/>
      <c r="BR55" s="67" t="n"/>
    </row>
    <row r="56" ht="17" customHeight="1" s="165">
      <c r="A56" s="210" t="n"/>
      <c r="B56" s="152" t="inlineStr">
        <is>
          <t>Emission Factor (Auto)</t>
        </is>
      </c>
      <c r="C56" s="216">
        <f>VLOOKUP(C55,$Q$3:$R$6,2,0)</f>
        <v/>
      </c>
      <c r="D56" s="216">
        <f>VLOOKUP(D55,$Q$3:$R$6,2,0)</f>
        <v/>
      </c>
      <c r="E56" s="216">
        <f>VLOOKUP(E55,$Q$3:$R$6,2,0)</f>
        <v/>
      </c>
      <c r="F56" s="216">
        <f>VLOOKUP(F55,$Q$3:$R$6,2,0)</f>
        <v/>
      </c>
      <c r="G56" s="216">
        <f>VLOOKUP(G55,$Q$3:$R$6,2,0)</f>
        <v/>
      </c>
      <c r="H56" s="216">
        <f>VLOOKUP(H55,$Q$3:$R$6,2,0)</f>
        <v/>
      </c>
      <c r="I56" s="216">
        <f>VLOOKUP(I55,$Q$3:$R$6,2,0)</f>
        <v/>
      </c>
      <c r="J56" s="216">
        <f>VLOOKUP(J55,$Q$3:$R$6,2,0)</f>
        <v/>
      </c>
      <c r="K56" s="216">
        <f>VLOOKUP(K55,$Q$3:$R$6,2,0)</f>
        <v/>
      </c>
      <c r="L56" s="216">
        <f>VLOOKUP(L55,$Q$3:$R$6,2,0)</f>
        <v/>
      </c>
      <c r="M56" s="216">
        <f>VLOOKUP(M55,$Q$3:$R$6,2,0)</f>
        <v/>
      </c>
      <c r="N56" s="216">
        <f>VLOOKUP(N55,$Q$3:$R$6,2,0)</f>
        <v/>
      </c>
      <c r="O56" s="216">
        <f>VLOOKUP(O55,$Q$3:$R$6,2,0)</f>
        <v/>
      </c>
      <c r="P56" s="216">
        <f>VLOOKUP(P55,$Q$3:$R$6,2,0)</f>
        <v/>
      </c>
      <c r="Q56" s="216">
        <f>VLOOKUP(Q55,$Q$3:$R$6,2,0)</f>
        <v/>
      </c>
      <c r="R56" s="216">
        <f>VLOOKUP(R55,$Q$3:$R$6,2,0)</f>
        <v/>
      </c>
      <c r="S56" s="216">
        <f>VLOOKUP(S55,$Q$3:$R$6,2,0)</f>
        <v/>
      </c>
      <c r="T56" s="216">
        <f>VLOOKUP(T55,$Q$3:$R$6,2,0)</f>
        <v/>
      </c>
      <c r="U56" s="216">
        <f>VLOOKUP(U55,$Q$3:$R$6,2,0)</f>
        <v/>
      </c>
      <c r="V56" s="216">
        <f>VLOOKUP(V55,$Q$3:$R$6,2,0)</f>
        <v/>
      </c>
      <c r="W56" s="216">
        <f>VLOOKUP(W55,$Q$3:$R$6,2,0)</f>
        <v/>
      </c>
      <c r="X56" s="216">
        <f>VLOOKUP(X55,$Q$3:$R$6,2,0)</f>
        <v/>
      </c>
      <c r="Y56" s="216">
        <f>VLOOKUP(Y55,$Q$3:$R$6,2,0)</f>
        <v/>
      </c>
      <c r="Z56" s="216">
        <f>VLOOKUP(Z55,$Q$3:$R$6,2,0)</f>
        <v/>
      </c>
      <c r="AA56" s="216">
        <f>VLOOKUP(AA55,$Q$3:$R$6,2,0)</f>
        <v/>
      </c>
      <c r="AB56" s="216">
        <f>VLOOKUP(AB55,$Q$3:$R$6,2,0)</f>
        <v/>
      </c>
      <c r="AC56" s="216">
        <f>VLOOKUP(AC55,$Q$3:$R$6,2,0)</f>
        <v/>
      </c>
      <c r="AD56" s="216">
        <f>VLOOKUP(AD55,$Q$3:$R$6,2,0)</f>
        <v/>
      </c>
      <c r="AE56" s="216">
        <f>VLOOKUP(AE55,$Q$3:$R$6,2,0)</f>
        <v/>
      </c>
      <c r="AF56" s="216">
        <f>VLOOKUP(AF55,$Q$3:$R$6,2,0)</f>
        <v/>
      </c>
      <c r="AG56" s="216">
        <f>VLOOKUP(AG55,$Q$3:$R$6,2,0)</f>
        <v/>
      </c>
      <c r="AH56" s="216">
        <f>VLOOKUP(AH55,$Q$3:$R$6,2,0)</f>
        <v/>
      </c>
      <c r="AI56" s="216">
        <f>VLOOKUP(AI55,$Q$3:$R$6,2,0)</f>
        <v/>
      </c>
      <c r="AJ56" s="216">
        <f>VLOOKUP(AJ55,$Q$3:$R$6,2,0)</f>
        <v/>
      </c>
      <c r="AK56" s="216">
        <f>VLOOKUP(AK55,$Q$3:$R$6,2,0)</f>
        <v/>
      </c>
      <c r="AL56" s="216">
        <f>VLOOKUP(AL55,$Q$3:$R$6,2,0)</f>
        <v/>
      </c>
      <c r="AM56" s="216">
        <f>VLOOKUP(AM55,$Q$3:$R$6,2,0)</f>
        <v/>
      </c>
      <c r="AN56" s="216">
        <f>VLOOKUP(AN55,$Q$3:$R$6,2,0)</f>
        <v/>
      </c>
      <c r="AO56" s="216">
        <f>VLOOKUP(AO55,$Q$3:$R$6,2,0)</f>
        <v/>
      </c>
      <c r="AP56" s="216">
        <f>VLOOKUP(AP55,$Q$3:$R$6,2,0)</f>
        <v/>
      </c>
      <c r="AQ56" s="216">
        <f>VLOOKUP(AQ55,$Q$3:$R$6,2,0)</f>
        <v/>
      </c>
      <c r="AR56" s="216">
        <f>VLOOKUP(AR55,$Q$3:$R$6,2,0)</f>
        <v/>
      </c>
      <c r="AS56" s="216">
        <f>VLOOKUP(AS55,$Q$3:$R$6,2,0)</f>
        <v/>
      </c>
      <c r="AT56" s="216">
        <f>VLOOKUP(AT55,$Q$3:$R$6,2,0)</f>
        <v/>
      </c>
      <c r="AU56" s="216">
        <f>VLOOKUP(AU55,$Q$3:$R$6,2,0)</f>
        <v/>
      </c>
      <c r="AV56" s="216">
        <f>VLOOKUP(AV55,$Q$3:$R$6,2,0)</f>
        <v/>
      </c>
      <c r="AW56" s="216">
        <f>VLOOKUP(AW55,$Q$3:$R$6,2,0)</f>
        <v/>
      </c>
      <c r="AX56" s="216">
        <f>VLOOKUP(AX55,$Q$3:$R$6,2,0)</f>
        <v/>
      </c>
      <c r="AY56" s="216">
        <f>VLOOKUP(AY55,$Q$3:$R$6,2,0)</f>
        <v/>
      </c>
      <c r="AZ56" s="216">
        <f>VLOOKUP(AZ55,$Q$3:$R$6,2,0)</f>
        <v/>
      </c>
      <c r="BA56" s="216">
        <f>VLOOKUP(BA55,$Q$3:$R$6,2,0)</f>
        <v/>
      </c>
      <c r="BB56" s="216">
        <f>VLOOKUP(BB55,$Q$3:$R$6,2,0)</f>
        <v/>
      </c>
      <c r="BC56" s="216">
        <f>VLOOKUP(BC55,$Q$3:$R$6,2,0)</f>
        <v/>
      </c>
      <c r="BD56" s="217">
        <f>VLOOKUP(BD55,$Q$3:$R$6,2,0)</f>
        <v/>
      </c>
      <c r="BE56" s="217">
        <f>VLOOKUP(BE55,$Q$3:$R$6,2,0)</f>
        <v/>
      </c>
      <c r="BF56" s="217">
        <f>VLOOKUP(BF55,$Q$3:$R$6,2,0)</f>
        <v/>
      </c>
      <c r="BG56" s="217">
        <f>VLOOKUP(BG55,$Q$3:$R$6,2,0)</f>
        <v/>
      </c>
      <c r="BH56" s="217">
        <f>VLOOKUP(BH55,$Q$3:$R$6,2,0)</f>
        <v/>
      </c>
      <c r="BI56" s="217">
        <f>VLOOKUP(BI55,$Q$3:$R$6,2,0)</f>
        <v/>
      </c>
      <c r="BJ56" s="217">
        <f>VLOOKUP(BJ55,$Q$3:$R$6,2,0)</f>
        <v/>
      </c>
      <c r="BK56" s="217">
        <f>VLOOKUP(BK55,$Q$3:$R$6,2,0)</f>
        <v/>
      </c>
      <c r="BL56" s="217">
        <f>VLOOKUP(BL55,$Q$3:$R$6,2,0)</f>
        <v/>
      </c>
      <c r="BM56" s="217">
        <f>VLOOKUP(BM55,$Q$3:$R$6,2,0)</f>
        <v/>
      </c>
      <c r="BN56" s="217">
        <f>VLOOKUP(BN55,$Q$3:$R$6,2,0)</f>
        <v/>
      </c>
      <c r="BO56" s="217">
        <f>VLOOKUP(BO55,$Q$3:$R$6,2,0)</f>
        <v/>
      </c>
      <c r="BP56" s="217">
        <f>VLOOKUP(BP55,$Q$3:$R$6,2,0)</f>
        <v/>
      </c>
      <c r="BQ56" s="234" t="n"/>
      <c r="BR56" s="67" t="n"/>
    </row>
    <row r="57" ht="17" customHeight="1" s="165">
      <c r="A57" s="210" t="n"/>
      <c r="B57" s="57" t="inlineStr">
        <is>
          <t>Annual Travel Distance (km)</t>
        </is>
      </c>
      <c r="C57" s="235" t="n"/>
      <c r="D57" s="235" t="n"/>
      <c r="E57" s="235" t="n"/>
      <c r="F57" s="235" t="n"/>
      <c r="G57" s="235" t="n"/>
      <c r="H57" s="235" t="n"/>
      <c r="I57" s="235" t="n"/>
      <c r="J57" s="235" t="n"/>
      <c r="K57" s="235" t="n"/>
      <c r="L57" s="235" t="n"/>
      <c r="M57" s="235" t="n"/>
      <c r="N57" s="235" t="n"/>
      <c r="O57" s="235" t="n"/>
      <c r="P57" s="235" t="n"/>
      <c r="Q57" s="235" t="n"/>
      <c r="R57" s="235" t="n"/>
      <c r="S57" s="235" t="n"/>
      <c r="T57" s="235" t="n"/>
      <c r="U57" s="235" t="n"/>
      <c r="V57" s="235" t="n"/>
      <c r="W57" s="235" t="n"/>
      <c r="X57" s="235" t="n"/>
      <c r="Y57" s="235" t="n"/>
      <c r="Z57" s="235" t="n"/>
      <c r="AA57" s="235" t="n"/>
      <c r="AB57" s="235" t="n"/>
      <c r="AC57" s="235" t="n"/>
      <c r="AD57" s="235" t="n"/>
      <c r="AE57" s="235" t="n"/>
      <c r="AF57" s="235" t="n"/>
      <c r="AG57" s="235" t="n"/>
      <c r="AH57" s="235" t="n"/>
      <c r="AI57" s="235" t="n"/>
      <c r="AJ57" s="235" t="n"/>
      <c r="AK57" s="235" t="n"/>
      <c r="AL57" s="235" t="n"/>
      <c r="AM57" s="235" t="n"/>
      <c r="AN57" s="235" t="n"/>
      <c r="AO57" s="235" t="n"/>
      <c r="AP57" s="235" t="n"/>
      <c r="AQ57" s="235" t="n"/>
      <c r="AR57" s="235" t="n"/>
      <c r="AS57" s="235" t="n"/>
      <c r="AT57" s="235" t="n"/>
      <c r="AU57" s="235" t="n"/>
      <c r="AV57" s="235" t="n"/>
      <c r="AW57" s="235" t="n"/>
      <c r="AX57" s="235" t="n"/>
      <c r="AY57" s="235" t="n"/>
      <c r="AZ57" s="235" t="n"/>
      <c r="BA57" s="235" t="n"/>
      <c r="BB57" s="235" t="n"/>
      <c r="BC57" s="235" t="n"/>
      <c r="BD57" s="236" t="n"/>
      <c r="BE57" s="236" t="n"/>
      <c r="BF57" s="236" t="n"/>
      <c r="BG57" s="236" t="n"/>
      <c r="BH57" s="236" t="n"/>
      <c r="BI57" s="236" t="n"/>
      <c r="BJ57" s="236" t="n"/>
      <c r="BK57" s="236" t="n"/>
      <c r="BL57" s="236" t="n"/>
      <c r="BM57" s="236" t="n"/>
      <c r="BN57" s="236" t="n"/>
      <c r="BO57" s="236" t="n"/>
      <c r="BP57" s="236" t="n"/>
      <c r="BQ57" s="234" t="n"/>
      <c r="BR57" s="67" t="n"/>
    </row>
    <row r="58" ht="18.5" customHeight="1" s="165">
      <c r="A58" s="192" t="n"/>
      <c r="B58" s="77" t="inlineStr">
        <is>
          <t>Total Sold Weight (kg)</t>
        </is>
      </c>
      <c r="C58" s="78" t="n"/>
      <c r="D58" s="78" t="n"/>
      <c r="E58" s="78" t="n"/>
      <c r="F58" s="78" t="n"/>
      <c r="G58" s="78" t="n"/>
      <c r="H58" s="78" t="n"/>
      <c r="I58" s="78" t="n"/>
      <c r="J58" s="78" t="n"/>
      <c r="K58" s="78" t="n"/>
      <c r="L58" s="78" t="n"/>
      <c r="M58" s="78" t="n"/>
      <c r="N58" s="78" t="n"/>
      <c r="O58" s="78" t="n"/>
      <c r="P58" s="78" t="n"/>
      <c r="Q58" s="78" t="n"/>
      <c r="R58" s="78" t="n"/>
      <c r="S58" s="78" t="n"/>
      <c r="T58" s="78" t="n"/>
      <c r="U58" s="78" t="n"/>
      <c r="V58" s="78" t="n"/>
      <c r="W58" s="78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8" t="n"/>
      <c r="AK58" s="78" t="n"/>
      <c r="AL58" s="78" t="n"/>
      <c r="AM58" s="78" t="n"/>
      <c r="AN58" s="78" t="n"/>
      <c r="AO58" s="78" t="n"/>
      <c r="AP58" s="78" t="n"/>
      <c r="AQ58" s="78" t="n"/>
      <c r="AR58" s="78" t="n"/>
      <c r="AS58" s="78" t="n"/>
      <c r="AT58" s="78" t="n"/>
      <c r="AU58" s="78" t="n"/>
      <c r="AV58" s="78" t="n"/>
      <c r="AW58" s="78" t="n"/>
      <c r="AX58" s="78" t="n"/>
      <c r="AY58" s="78" t="n"/>
      <c r="AZ58" s="78" t="n"/>
      <c r="BA58" s="78" t="n"/>
      <c r="BB58" s="78" t="n"/>
      <c r="BC58" s="78" t="n"/>
      <c r="BD58" s="79" t="n"/>
      <c r="BE58" s="79" t="n"/>
      <c r="BF58" s="79" t="n"/>
      <c r="BG58" s="79" t="n"/>
      <c r="BH58" s="79" t="n"/>
      <c r="BI58" s="79" t="n"/>
      <c r="BJ58" s="79" t="n"/>
      <c r="BK58" s="79" t="n"/>
      <c r="BL58" s="79" t="n"/>
      <c r="BM58" s="79" t="n"/>
      <c r="BN58" s="79" t="n"/>
      <c r="BO58" s="79" t="n"/>
      <c r="BP58" s="79" t="n"/>
      <c r="BQ58" s="198">
        <f t="array" ref="BQ58">SUMPRODUCT(C56:BP56,C57:BP57,C58:BP58/1000)</f>
        <v/>
      </c>
      <c r="BR58" s="199">
        <f>BQ58/1000</f>
        <v/>
      </c>
    </row>
    <row r="59" ht="18.5" customHeight="1" s="165">
      <c r="A59" s="152" t="inlineStr">
        <is>
          <t>Pune</t>
        </is>
      </c>
      <c r="B59" s="56" t="inlineStr">
        <is>
          <t>Transport Mode</t>
        </is>
      </c>
      <c r="C59" s="213" t="inlineStr">
        <is>
          <t>Rail</t>
        </is>
      </c>
      <c r="D59" s="213" t="inlineStr">
        <is>
          <t>Truck</t>
        </is>
      </c>
      <c r="E59" s="213" t="inlineStr">
        <is>
          <t>Truck</t>
        </is>
      </c>
      <c r="F59" s="213" t="inlineStr">
        <is>
          <t>Air</t>
        </is>
      </c>
      <c r="G59" s="213" t="inlineStr">
        <is>
          <t>Truck</t>
        </is>
      </c>
      <c r="H59" s="213" t="inlineStr">
        <is>
          <t>Truck</t>
        </is>
      </c>
      <c r="I59" s="213" t="inlineStr">
        <is>
          <t>Truck</t>
        </is>
      </c>
      <c r="J59" s="213" t="inlineStr">
        <is>
          <t>Truck</t>
        </is>
      </c>
      <c r="K59" s="213" t="inlineStr">
        <is>
          <t>Truck</t>
        </is>
      </c>
      <c r="L59" s="213" t="inlineStr">
        <is>
          <t>Ocean Vessel</t>
        </is>
      </c>
      <c r="M59" s="213" t="inlineStr">
        <is>
          <t>Truck</t>
        </is>
      </c>
      <c r="N59" s="213" t="inlineStr">
        <is>
          <t>Truck</t>
        </is>
      </c>
      <c r="O59" s="213" t="inlineStr">
        <is>
          <t>Truck</t>
        </is>
      </c>
      <c r="P59" s="213" t="inlineStr">
        <is>
          <t>Truck</t>
        </is>
      </c>
      <c r="Q59" s="213" t="inlineStr">
        <is>
          <t>Truck</t>
        </is>
      </c>
      <c r="R59" s="213" t="inlineStr">
        <is>
          <t>Truck</t>
        </is>
      </c>
      <c r="S59" s="213" t="inlineStr">
        <is>
          <t>Truck</t>
        </is>
      </c>
      <c r="T59" s="213" t="inlineStr">
        <is>
          <t>Truck</t>
        </is>
      </c>
      <c r="U59" s="213" t="inlineStr">
        <is>
          <t>Truck</t>
        </is>
      </c>
      <c r="V59" s="213" t="inlineStr">
        <is>
          <t>Truck</t>
        </is>
      </c>
      <c r="W59" s="213" t="inlineStr">
        <is>
          <t>Truck</t>
        </is>
      </c>
      <c r="X59" s="213" t="inlineStr">
        <is>
          <t>Truck</t>
        </is>
      </c>
      <c r="Y59" s="213" t="inlineStr">
        <is>
          <t>Truck</t>
        </is>
      </c>
      <c r="Z59" s="213" t="inlineStr">
        <is>
          <t>Truck</t>
        </is>
      </c>
      <c r="AA59" s="213" t="inlineStr">
        <is>
          <t>Truck</t>
        </is>
      </c>
      <c r="AB59" s="213" t="inlineStr">
        <is>
          <t>Truck</t>
        </is>
      </c>
      <c r="AC59" s="213" t="inlineStr">
        <is>
          <t>Truck</t>
        </is>
      </c>
      <c r="AD59" s="213" t="inlineStr">
        <is>
          <t>Truck</t>
        </is>
      </c>
      <c r="AE59" s="213" t="inlineStr">
        <is>
          <t>Truck</t>
        </is>
      </c>
      <c r="AF59" s="213" t="inlineStr">
        <is>
          <t>Truck</t>
        </is>
      </c>
      <c r="AG59" s="213" t="inlineStr">
        <is>
          <t>Truck</t>
        </is>
      </c>
      <c r="AH59" s="213" t="inlineStr">
        <is>
          <t>Truck</t>
        </is>
      </c>
      <c r="AI59" s="213" t="inlineStr">
        <is>
          <t>Truck</t>
        </is>
      </c>
      <c r="AJ59" s="213" t="inlineStr">
        <is>
          <t>Truck</t>
        </is>
      </c>
      <c r="AK59" s="213" t="inlineStr">
        <is>
          <t>Truck</t>
        </is>
      </c>
      <c r="AL59" s="213" t="inlineStr">
        <is>
          <t>Truck</t>
        </is>
      </c>
      <c r="AM59" s="213" t="inlineStr">
        <is>
          <t>Truck</t>
        </is>
      </c>
      <c r="AN59" s="213" t="inlineStr">
        <is>
          <t>Truck</t>
        </is>
      </c>
      <c r="AO59" s="213" t="inlineStr">
        <is>
          <t>Truck</t>
        </is>
      </c>
      <c r="AP59" s="213" t="inlineStr">
        <is>
          <t>Truck</t>
        </is>
      </c>
      <c r="AQ59" s="213" t="inlineStr">
        <is>
          <t>Truck</t>
        </is>
      </c>
      <c r="AR59" s="213" t="inlineStr">
        <is>
          <t>Truck</t>
        </is>
      </c>
      <c r="AS59" s="213" t="inlineStr">
        <is>
          <t>Truck</t>
        </is>
      </c>
      <c r="AT59" s="213" t="inlineStr">
        <is>
          <t>Truck</t>
        </is>
      </c>
      <c r="AU59" s="213" t="inlineStr">
        <is>
          <t>Truck</t>
        </is>
      </c>
      <c r="AV59" s="213" t="inlineStr">
        <is>
          <t>Truck</t>
        </is>
      </c>
      <c r="AW59" s="213" t="inlineStr">
        <is>
          <t>Truck</t>
        </is>
      </c>
      <c r="AX59" s="213" t="inlineStr">
        <is>
          <t>Truck</t>
        </is>
      </c>
      <c r="AY59" s="213" t="inlineStr">
        <is>
          <t>Truck</t>
        </is>
      </c>
      <c r="AZ59" s="213" t="inlineStr">
        <is>
          <t>Truck</t>
        </is>
      </c>
      <c r="BA59" s="213" t="inlineStr">
        <is>
          <t>Truck</t>
        </is>
      </c>
      <c r="BB59" s="213" t="inlineStr">
        <is>
          <t>Truck</t>
        </is>
      </c>
      <c r="BC59" s="213" t="inlineStr">
        <is>
          <t>Truck</t>
        </is>
      </c>
      <c r="BD59" s="214" t="inlineStr">
        <is>
          <t>Truck</t>
        </is>
      </c>
      <c r="BE59" s="214" t="inlineStr">
        <is>
          <t>Truck</t>
        </is>
      </c>
      <c r="BF59" s="214" t="inlineStr">
        <is>
          <t>Truck</t>
        </is>
      </c>
      <c r="BG59" s="214" t="inlineStr">
        <is>
          <t>Truck</t>
        </is>
      </c>
      <c r="BH59" s="214" t="inlineStr">
        <is>
          <t>Truck</t>
        </is>
      </c>
      <c r="BI59" s="214" t="inlineStr">
        <is>
          <t>Truck</t>
        </is>
      </c>
      <c r="BJ59" s="214" t="inlineStr">
        <is>
          <t>Truck</t>
        </is>
      </c>
      <c r="BK59" s="214" t="inlineStr">
        <is>
          <t>Truck</t>
        </is>
      </c>
      <c r="BL59" s="214" t="inlineStr">
        <is>
          <t>Truck</t>
        </is>
      </c>
      <c r="BM59" s="214" t="inlineStr">
        <is>
          <t>Truck</t>
        </is>
      </c>
      <c r="BN59" s="214" t="inlineStr">
        <is>
          <t>Truck</t>
        </is>
      </c>
      <c r="BO59" s="214" t="inlineStr">
        <is>
          <t>Truck</t>
        </is>
      </c>
      <c r="BP59" s="214" t="inlineStr">
        <is>
          <t>Truck</t>
        </is>
      </c>
      <c r="BQ59" s="70" t="n"/>
      <c r="BR59" s="67" t="n"/>
    </row>
    <row r="60" ht="17" customHeight="1" s="165">
      <c r="A60" s="210" t="n"/>
      <c r="B60" s="152" t="inlineStr">
        <is>
          <t>Emission Factor (Auto)</t>
        </is>
      </c>
      <c r="C60" s="216">
        <f>VLOOKUP(C59,$Q$3:$R$6,2,0)</f>
        <v/>
      </c>
      <c r="D60" s="216">
        <f>VLOOKUP(D59,$Q$3:$R$6,2,0)</f>
        <v/>
      </c>
      <c r="E60" s="216">
        <f>VLOOKUP(E59,$Q$3:$R$6,2,0)</f>
        <v/>
      </c>
      <c r="F60" s="216">
        <f>VLOOKUP(F59,$Q$3:$R$6,2,0)</f>
        <v/>
      </c>
      <c r="G60" s="216">
        <f>VLOOKUP(G59,$Q$3:$R$6,2,0)</f>
        <v/>
      </c>
      <c r="H60" s="216">
        <f>VLOOKUP(H59,$Q$3:$R$6,2,0)</f>
        <v/>
      </c>
      <c r="I60" s="216">
        <f>VLOOKUP(I59,$Q$3:$R$6,2,0)</f>
        <v/>
      </c>
      <c r="J60" s="216">
        <f>VLOOKUP(J59,$Q$3:$R$6,2,0)</f>
        <v/>
      </c>
      <c r="K60" s="216">
        <f>VLOOKUP(K59,$Q$3:$R$6,2,0)</f>
        <v/>
      </c>
      <c r="L60" s="216">
        <f>VLOOKUP(L59,$Q$3:$R$6,2,0)</f>
        <v/>
      </c>
      <c r="M60" s="216">
        <f>VLOOKUP(M59,$Q$3:$R$6,2,0)</f>
        <v/>
      </c>
      <c r="N60" s="216">
        <f>VLOOKUP(N59,$Q$3:$R$6,2,0)</f>
        <v/>
      </c>
      <c r="O60" s="216">
        <f>VLOOKUP(O59,$Q$3:$R$6,2,0)</f>
        <v/>
      </c>
      <c r="P60" s="216">
        <f>VLOOKUP(P59,$Q$3:$R$6,2,0)</f>
        <v/>
      </c>
      <c r="Q60" s="216">
        <f>VLOOKUP(Q59,$Q$3:$R$6,2,0)</f>
        <v/>
      </c>
      <c r="R60" s="216">
        <f>VLOOKUP(R59,$Q$3:$R$6,2,0)</f>
        <v/>
      </c>
      <c r="S60" s="216">
        <f>VLOOKUP(S59,$Q$3:$R$6,2,0)</f>
        <v/>
      </c>
      <c r="T60" s="216">
        <f>VLOOKUP(T59,$Q$3:$R$6,2,0)</f>
        <v/>
      </c>
      <c r="U60" s="216">
        <f>VLOOKUP(U59,$Q$3:$R$6,2,0)</f>
        <v/>
      </c>
      <c r="V60" s="216">
        <f>VLOOKUP(V59,$Q$3:$R$6,2,0)</f>
        <v/>
      </c>
      <c r="W60" s="216">
        <f>VLOOKUP(W59,$Q$3:$R$6,2,0)</f>
        <v/>
      </c>
      <c r="X60" s="216">
        <f>VLOOKUP(X59,$Q$3:$R$6,2,0)</f>
        <v/>
      </c>
      <c r="Y60" s="216">
        <f>VLOOKUP(Y59,$Q$3:$R$6,2,0)</f>
        <v/>
      </c>
      <c r="Z60" s="216">
        <f>VLOOKUP(Z59,$Q$3:$R$6,2,0)</f>
        <v/>
      </c>
      <c r="AA60" s="216">
        <f>VLOOKUP(AA59,$Q$3:$R$6,2,0)</f>
        <v/>
      </c>
      <c r="AB60" s="216">
        <f>VLOOKUP(AB59,$Q$3:$R$6,2,0)</f>
        <v/>
      </c>
      <c r="AC60" s="216">
        <f>VLOOKUP(AC59,$Q$3:$R$6,2,0)</f>
        <v/>
      </c>
      <c r="AD60" s="216">
        <f>VLOOKUP(AD59,$Q$3:$R$6,2,0)</f>
        <v/>
      </c>
      <c r="AE60" s="216">
        <f>VLOOKUP(AE59,$Q$3:$R$6,2,0)</f>
        <v/>
      </c>
      <c r="AF60" s="216">
        <f>VLOOKUP(AF59,$Q$3:$R$6,2,0)</f>
        <v/>
      </c>
      <c r="AG60" s="216">
        <f>VLOOKUP(AG59,$Q$3:$R$6,2,0)</f>
        <v/>
      </c>
      <c r="AH60" s="216">
        <f>VLOOKUP(AH59,$Q$3:$R$6,2,0)</f>
        <v/>
      </c>
      <c r="AI60" s="216">
        <f>VLOOKUP(AI59,$Q$3:$R$6,2,0)</f>
        <v/>
      </c>
      <c r="AJ60" s="216">
        <f>VLOOKUP(AJ59,$Q$3:$R$6,2,0)</f>
        <v/>
      </c>
      <c r="AK60" s="216">
        <f>VLOOKUP(AK59,$Q$3:$R$6,2,0)</f>
        <v/>
      </c>
      <c r="AL60" s="216">
        <f>VLOOKUP(AL59,$Q$3:$R$6,2,0)</f>
        <v/>
      </c>
      <c r="AM60" s="216">
        <f>VLOOKUP(AM59,$Q$3:$R$6,2,0)</f>
        <v/>
      </c>
      <c r="AN60" s="216">
        <f>VLOOKUP(AN59,$Q$3:$R$6,2,0)</f>
        <v/>
      </c>
      <c r="AO60" s="216">
        <f>VLOOKUP(AO59,$Q$3:$R$6,2,0)</f>
        <v/>
      </c>
      <c r="AP60" s="216">
        <f>VLOOKUP(AP59,$Q$3:$R$6,2,0)</f>
        <v/>
      </c>
      <c r="AQ60" s="216">
        <f>VLOOKUP(AQ59,$Q$3:$R$6,2,0)</f>
        <v/>
      </c>
      <c r="AR60" s="216">
        <f>VLOOKUP(AR59,$Q$3:$R$6,2,0)</f>
        <v/>
      </c>
      <c r="AS60" s="216">
        <f>VLOOKUP(AS59,$Q$3:$R$6,2,0)</f>
        <v/>
      </c>
      <c r="AT60" s="216">
        <f>VLOOKUP(AT59,$Q$3:$R$6,2,0)</f>
        <v/>
      </c>
      <c r="AU60" s="216">
        <f>VLOOKUP(AU59,$Q$3:$R$6,2,0)</f>
        <v/>
      </c>
      <c r="AV60" s="216">
        <f>VLOOKUP(AV59,$Q$3:$R$6,2,0)</f>
        <v/>
      </c>
      <c r="AW60" s="216">
        <f>VLOOKUP(AW59,$Q$3:$R$6,2,0)</f>
        <v/>
      </c>
      <c r="AX60" s="216">
        <f>VLOOKUP(AX59,$Q$3:$R$6,2,0)</f>
        <v/>
      </c>
      <c r="AY60" s="216">
        <f>VLOOKUP(AY59,$Q$3:$R$6,2,0)</f>
        <v/>
      </c>
      <c r="AZ60" s="216">
        <f>VLOOKUP(AZ59,$Q$3:$R$6,2,0)</f>
        <v/>
      </c>
      <c r="BA60" s="216">
        <f>VLOOKUP(BA59,$Q$3:$R$6,2,0)</f>
        <v/>
      </c>
      <c r="BB60" s="216">
        <f>VLOOKUP(BB59,$Q$3:$R$6,2,0)</f>
        <v/>
      </c>
      <c r="BC60" s="216">
        <f>VLOOKUP(BC59,$Q$3:$R$6,2,0)</f>
        <v/>
      </c>
      <c r="BD60" s="217">
        <f>VLOOKUP(BD59,$Q$3:$R$6,2,0)</f>
        <v/>
      </c>
      <c r="BE60" s="217">
        <f>VLOOKUP(BE59,$Q$3:$R$6,2,0)</f>
        <v/>
      </c>
      <c r="BF60" s="217">
        <f>VLOOKUP(BF59,$Q$3:$R$6,2,0)</f>
        <v/>
      </c>
      <c r="BG60" s="217">
        <f>VLOOKUP(BG59,$Q$3:$R$6,2,0)</f>
        <v/>
      </c>
      <c r="BH60" s="217">
        <f>VLOOKUP(BH59,$Q$3:$R$6,2,0)</f>
        <v/>
      </c>
      <c r="BI60" s="217">
        <f>VLOOKUP(BI59,$Q$3:$R$6,2,0)</f>
        <v/>
      </c>
      <c r="BJ60" s="217">
        <f>VLOOKUP(BJ59,$Q$3:$R$6,2,0)</f>
        <v/>
      </c>
      <c r="BK60" s="217">
        <f>VLOOKUP(BK59,$Q$3:$R$6,2,0)</f>
        <v/>
      </c>
      <c r="BL60" s="217">
        <f>VLOOKUP(BL59,$Q$3:$R$6,2,0)</f>
        <v/>
      </c>
      <c r="BM60" s="217">
        <f>VLOOKUP(BM59,$Q$3:$R$6,2,0)</f>
        <v/>
      </c>
      <c r="BN60" s="217">
        <f>VLOOKUP(BN59,$Q$3:$R$6,2,0)</f>
        <v/>
      </c>
      <c r="BO60" s="217">
        <f>VLOOKUP(BO59,$Q$3:$R$6,2,0)</f>
        <v/>
      </c>
      <c r="BP60" s="217">
        <f>VLOOKUP(BP59,$Q$3:$R$6,2,0)</f>
        <v/>
      </c>
      <c r="BQ60" s="234" t="n"/>
      <c r="BR60" s="67" t="n"/>
    </row>
    <row r="61" ht="17" customHeight="1" s="165">
      <c r="A61" s="210" t="n"/>
      <c r="B61" s="57" t="inlineStr">
        <is>
          <t>Annual Travel Distance (km)</t>
        </is>
      </c>
      <c r="C61" s="235" t="n"/>
      <c r="D61" s="235" t="n"/>
      <c r="E61" s="235" t="n"/>
      <c r="F61" s="235" t="n"/>
      <c r="G61" s="235" t="n"/>
      <c r="H61" s="235" t="n"/>
      <c r="I61" s="235" t="n"/>
      <c r="J61" s="235" t="n"/>
      <c r="K61" s="235" t="n"/>
      <c r="L61" s="235" t="n"/>
      <c r="M61" s="235" t="n"/>
      <c r="N61" s="235" t="n"/>
      <c r="O61" s="235" t="n"/>
      <c r="P61" s="235" t="n"/>
      <c r="Q61" s="235" t="n"/>
      <c r="R61" s="235" t="n"/>
      <c r="S61" s="235" t="n"/>
      <c r="T61" s="235" t="n"/>
      <c r="U61" s="235" t="n"/>
      <c r="V61" s="235" t="n"/>
      <c r="W61" s="235" t="n"/>
      <c r="X61" s="235" t="n"/>
      <c r="Y61" s="235" t="n"/>
      <c r="Z61" s="235" t="n"/>
      <c r="AA61" s="235" t="n"/>
      <c r="AB61" s="235" t="n"/>
      <c r="AC61" s="235" t="n"/>
      <c r="AD61" s="235" t="n"/>
      <c r="AE61" s="235" t="n"/>
      <c r="AF61" s="235" t="n"/>
      <c r="AG61" s="235" t="n"/>
      <c r="AH61" s="235" t="n"/>
      <c r="AI61" s="235" t="n"/>
      <c r="AJ61" s="235" t="n"/>
      <c r="AK61" s="235" t="n"/>
      <c r="AL61" s="235" t="n"/>
      <c r="AM61" s="235" t="n"/>
      <c r="AN61" s="235" t="n"/>
      <c r="AO61" s="235" t="n"/>
      <c r="AP61" s="235" t="n"/>
      <c r="AQ61" s="235" t="n"/>
      <c r="AR61" s="235" t="n"/>
      <c r="AS61" s="235" t="n"/>
      <c r="AT61" s="235" t="n"/>
      <c r="AU61" s="235" t="n"/>
      <c r="AV61" s="235" t="n"/>
      <c r="AW61" s="235" t="n"/>
      <c r="AX61" s="235" t="n"/>
      <c r="AY61" s="235" t="n"/>
      <c r="AZ61" s="235" t="n"/>
      <c r="BA61" s="235" t="n"/>
      <c r="BB61" s="235" t="n"/>
      <c r="BC61" s="235" t="n"/>
      <c r="BD61" s="236" t="n"/>
      <c r="BE61" s="236" t="n"/>
      <c r="BF61" s="236" t="n"/>
      <c r="BG61" s="236" t="n"/>
      <c r="BH61" s="236" t="n"/>
      <c r="BI61" s="236" t="n"/>
      <c r="BJ61" s="236" t="n"/>
      <c r="BK61" s="236" t="n"/>
      <c r="BL61" s="236" t="n"/>
      <c r="BM61" s="236" t="n"/>
      <c r="BN61" s="236" t="n"/>
      <c r="BO61" s="236" t="n"/>
      <c r="BP61" s="236" t="n"/>
      <c r="BQ61" s="234" t="n"/>
      <c r="BR61" s="67" t="n"/>
    </row>
    <row r="62" ht="18.5" customHeight="1" s="165">
      <c r="A62" s="192" t="n"/>
      <c r="B62" s="77" t="inlineStr">
        <is>
          <t>Total Sold Weight (kg)</t>
        </is>
      </c>
      <c r="C62" s="78" t="n"/>
      <c r="D62" s="78" t="n"/>
      <c r="E62" s="78" t="n"/>
      <c r="F62" s="78" t="n"/>
      <c r="G62" s="78" t="n"/>
      <c r="H62" s="78" t="n"/>
      <c r="I62" s="78" t="n"/>
      <c r="J62" s="78" t="n"/>
      <c r="K62" s="78" t="n"/>
      <c r="L62" s="78" t="n"/>
      <c r="M62" s="78" t="n"/>
      <c r="N62" s="78" t="n"/>
      <c r="O62" s="78" t="n"/>
      <c r="P62" s="78" t="n"/>
      <c r="Q62" s="78" t="n"/>
      <c r="R62" s="78" t="n"/>
      <c r="S62" s="78" t="n"/>
      <c r="T62" s="78" t="n"/>
      <c r="U62" s="78" t="n"/>
      <c r="V62" s="78" t="n"/>
      <c r="W62" s="78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8" t="n"/>
      <c r="AK62" s="78" t="n"/>
      <c r="AL62" s="78" t="n"/>
      <c r="AM62" s="78" t="n"/>
      <c r="AN62" s="78" t="n"/>
      <c r="AO62" s="78" t="n"/>
      <c r="AP62" s="78" t="n"/>
      <c r="AQ62" s="78" t="n"/>
      <c r="AR62" s="78" t="n"/>
      <c r="AS62" s="78" t="n"/>
      <c r="AT62" s="78" t="n"/>
      <c r="AU62" s="78" t="n"/>
      <c r="AV62" s="78" t="n"/>
      <c r="AW62" s="78" t="n"/>
      <c r="AX62" s="78" t="n"/>
      <c r="AY62" s="78" t="n"/>
      <c r="AZ62" s="78" t="n"/>
      <c r="BA62" s="78" t="n"/>
      <c r="BB62" s="78" t="n"/>
      <c r="BC62" s="78" t="n"/>
      <c r="BD62" s="79" t="n"/>
      <c r="BE62" s="79" t="n"/>
      <c r="BF62" s="79" t="n"/>
      <c r="BG62" s="79" t="n"/>
      <c r="BH62" s="79" t="n"/>
      <c r="BI62" s="79" t="n"/>
      <c r="BJ62" s="79" t="n"/>
      <c r="BK62" s="79" t="n"/>
      <c r="BL62" s="79" t="n"/>
      <c r="BM62" s="79" t="n"/>
      <c r="BN62" s="79" t="n"/>
      <c r="BO62" s="79" t="n"/>
      <c r="BP62" s="79" t="n"/>
      <c r="BQ62" s="198">
        <f t="array" ref="BQ62">SUMPRODUCT(C60:BP60,C61:BP61,C62:BP62/1000)</f>
        <v/>
      </c>
      <c r="BR62" s="199">
        <f>BQ62/1000</f>
        <v/>
      </c>
    </row>
    <row r="63" ht="18.5" customHeight="1" s="165">
      <c r="A63" s="152" t="inlineStr">
        <is>
          <t>Trzyniec</t>
        </is>
      </c>
      <c r="B63" s="56" t="inlineStr">
        <is>
          <t>Transport Mode</t>
        </is>
      </c>
      <c r="C63" s="213" t="inlineStr">
        <is>
          <t>Rail</t>
        </is>
      </c>
      <c r="D63" s="213" t="inlineStr">
        <is>
          <t>Truck</t>
        </is>
      </c>
      <c r="E63" s="213" t="inlineStr">
        <is>
          <t>Truck</t>
        </is>
      </c>
      <c r="F63" s="213" t="inlineStr">
        <is>
          <t>Air</t>
        </is>
      </c>
      <c r="G63" s="213" t="inlineStr">
        <is>
          <t>Truck</t>
        </is>
      </c>
      <c r="H63" s="213" t="inlineStr">
        <is>
          <t>Truck</t>
        </is>
      </c>
      <c r="I63" s="213" t="inlineStr">
        <is>
          <t>Truck</t>
        </is>
      </c>
      <c r="J63" s="213" t="inlineStr">
        <is>
          <t>Truck</t>
        </is>
      </c>
      <c r="K63" s="213" t="inlineStr">
        <is>
          <t>Truck</t>
        </is>
      </c>
      <c r="L63" s="213" t="inlineStr">
        <is>
          <t>Ocean Vessel</t>
        </is>
      </c>
      <c r="M63" s="213" t="inlineStr">
        <is>
          <t>Truck</t>
        </is>
      </c>
      <c r="N63" s="213" t="inlineStr">
        <is>
          <t>Truck</t>
        </is>
      </c>
      <c r="O63" s="213" t="inlineStr">
        <is>
          <t>Truck</t>
        </is>
      </c>
      <c r="P63" s="213" t="inlineStr">
        <is>
          <t>Truck</t>
        </is>
      </c>
      <c r="Q63" s="213" t="inlineStr">
        <is>
          <t>Truck</t>
        </is>
      </c>
      <c r="R63" s="213" t="inlineStr">
        <is>
          <t>Truck</t>
        </is>
      </c>
      <c r="S63" s="213" t="inlineStr">
        <is>
          <t>Truck</t>
        </is>
      </c>
      <c r="T63" s="213" t="inlineStr">
        <is>
          <t>Truck</t>
        </is>
      </c>
      <c r="U63" s="213" t="inlineStr">
        <is>
          <t>Truck</t>
        </is>
      </c>
      <c r="V63" s="213" t="inlineStr">
        <is>
          <t>Truck</t>
        </is>
      </c>
      <c r="W63" s="213" t="inlineStr">
        <is>
          <t>Truck</t>
        </is>
      </c>
      <c r="X63" s="213" t="inlineStr">
        <is>
          <t>Truck</t>
        </is>
      </c>
      <c r="Y63" s="213" t="inlineStr">
        <is>
          <t>Truck</t>
        </is>
      </c>
      <c r="Z63" s="213" t="inlineStr">
        <is>
          <t>Truck</t>
        </is>
      </c>
      <c r="AA63" s="213" t="inlineStr">
        <is>
          <t>Truck</t>
        </is>
      </c>
      <c r="AB63" s="213" t="inlineStr">
        <is>
          <t>Truck</t>
        </is>
      </c>
      <c r="AC63" s="213" t="inlineStr">
        <is>
          <t>Truck</t>
        </is>
      </c>
      <c r="AD63" s="213" t="inlineStr">
        <is>
          <t>Truck</t>
        </is>
      </c>
      <c r="AE63" s="213" t="inlineStr">
        <is>
          <t>Truck</t>
        </is>
      </c>
      <c r="AF63" s="213" t="inlineStr">
        <is>
          <t>Truck</t>
        </is>
      </c>
      <c r="AG63" s="213" t="inlineStr">
        <is>
          <t>Truck</t>
        </is>
      </c>
      <c r="AH63" s="213" t="inlineStr">
        <is>
          <t>Truck</t>
        </is>
      </c>
      <c r="AI63" s="213" t="inlineStr">
        <is>
          <t>Truck</t>
        </is>
      </c>
      <c r="AJ63" s="213" t="inlineStr">
        <is>
          <t>Truck</t>
        </is>
      </c>
      <c r="AK63" s="213" t="inlineStr">
        <is>
          <t>Truck</t>
        </is>
      </c>
      <c r="AL63" s="213" t="inlineStr">
        <is>
          <t>Truck</t>
        </is>
      </c>
      <c r="AM63" s="213" t="inlineStr">
        <is>
          <t>Truck</t>
        </is>
      </c>
      <c r="AN63" s="213" t="inlineStr">
        <is>
          <t>Truck</t>
        </is>
      </c>
      <c r="AO63" s="213" t="inlineStr">
        <is>
          <t>Truck</t>
        </is>
      </c>
      <c r="AP63" s="213" t="inlineStr">
        <is>
          <t>Truck</t>
        </is>
      </c>
      <c r="AQ63" s="213" t="inlineStr">
        <is>
          <t>Truck</t>
        </is>
      </c>
      <c r="AR63" s="213" t="inlineStr">
        <is>
          <t>Truck</t>
        </is>
      </c>
      <c r="AS63" s="213" t="inlineStr">
        <is>
          <t>Truck</t>
        </is>
      </c>
      <c r="AT63" s="213" t="inlineStr">
        <is>
          <t>Truck</t>
        </is>
      </c>
      <c r="AU63" s="213" t="inlineStr">
        <is>
          <t>Truck</t>
        </is>
      </c>
      <c r="AV63" s="213" t="inlineStr">
        <is>
          <t>Truck</t>
        </is>
      </c>
      <c r="AW63" s="213" t="inlineStr">
        <is>
          <t>Truck</t>
        </is>
      </c>
      <c r="AX63" s="213" t="inlineStr">
        <is>
          <t>Truck</t>
        </is>
      </c>
      <c r="AY63" s="213" t="inlineStr">
        <is>
          <t>Truck</t>
        </is>
      </c>
      <c r="AZ63" s="213" t="inlineStr">
        <is>
          <t>Truck</t>
        </is>
      </c>
      <c r="BA63" s="213" t="inlineStr">
        <is>
          <t>Truck</t>
        </is>
      </c>
      <c r="BB63" s="213" t="inlineStr">
        <is>
          <t>Truck</t>
        </is>
      </c>
      <c r="BC63" s="213" t="inlineStr">
        <is>
          <t>Truck</t>
        </is>
      </c>
      <c r="BD63" s="214" t="inlineStr">
        <is>
          <t>Truck</t>
        </is>
      </c>
      <c r="BE63" s="214" t="inlineStr">
        <is>
          <t>Truck</t>
        </is>
      </c>
      <c r="BF63" s="214" t="inlineStr">
        <is>
          <t>Truck</t>
        </is>
      </c>
      <c r="BG63" s="214" t="inlineStr">
        <is>
          <t>Truck</t>
        </is>
      </c>
      <c r="BH63" s="214" t="inlineStr">
        <is>
          <t>Truck</t>
        </is>
      </c>
      <c r="BI63" s="214" t="inlineStr">
        <is>
          <t>Truck</t>
        </is>
      </c>
      <c r="BJ63" s="214" t="inlineStr">
        <is>
          <t>Truck</t>
        </is>
      </c>
      <c r="BK63" s="214" t="inlineStr">
        <is>
          <t>Truck</t>
        </is>
      </c>
      <c r="BL63" s="214" t="inlineStr">
        <is>
          <t>Truck</t>
        </is>
      </c>
      <c r="BM63" s="214" t="inlineStr">
        <is>
          <t>Truck</t>
        </is>
      </c>
      <c r="BN63" s="214" t="inlineStr">
        <is>
          <t>Truck</t>
        </is>
      </c>
      <c r="BO63" s="214" t="inlineStr">
        <is>
          <t>Truck</t>
        </is>
      </c>
      <c r="BP63" s="214" t="inlineStr">
        <is>
          <t>Truck</t>
        </is>
      </c>
      <c r="BQ63" s="70" t="n"/>
      <c r="BR63" s="67" t="n"/>
    </row>
    <row r="64" ht="17" customHeight="1" s="165">
      <c r="A64" s="210" t="n"/>
      <c r="B64" s="152" t="inlineStr">
        <is>
          <t>Emission Factor (Auto)</t>
        </is>
      </c>
      <c r="C64" s="216">
        <f>VLOOKUP(C63,$Q$3:$R$6,2,0)</f>
        <v/>
      </c>
      <c r="D64" s="216">
        <f>VLOOKUP(D63,$Q$3:$R$6,2,0)</f>
        <v/>
      </c>
      <c r="E64" s="216">
        <f>VLOOKUP(E63,$Q$3:$R$6,2,0)</f>
        <v/>
      </c>
      <c r="F64" s="216">
        <f>VLOOKUP(F63,$Q$3:$R$6,2,0)</f>
        <v/>
      </c>
      <c r="G64" s="216">
        <f>VLOOKUP(G63,$Q$3:$R$6,2,0)</f>
        <v/>
      </c>
      <c r="H64" s="216">
        <f>VLOOKUP(H63,$Q$3:$R$6,2,0)</f>
        <v/>
      </c>
      <c r="I64" s="216">
        <f>VLOOKUP(I63,$Q$3:$R$6,2,0)</f>
        <v/>
      </c>
      <c r="J64" s="216">
        <f>VLOOKUP(J63,$Q$3:$R$6,2,0)</f>
        <v/>
      </c>
      <c r="K64" s="216">
        <f>VLOOKUP(K63,$Q$3:$R$6,2,0)</f>
        <v/>
      </c>
      <c r="L64" s="216">
        <f>VLOOKUP(L63,$Q$3:$R$6,2,0)</f>
        <v/>
      </c>
      <c r="M64" s="216">
        <f>VLOOKUP(M63,$Q$3:$R$6,2,0)</f>
        <v/>
      </c>
      <c r="N64" s="216">
        <f>VLOOKUP(N63,$Q$3:$R$6,2,0)</f>
        <v/>
      </c>
      <c r="O64" s="216">
        <f>VLOOKUP(O63,$Q$3:$R$6,2,0)</f>
        <v/>
      </c>
      <c r="P64" s="216">
        <f>VLOOKUP(P63,$Q$3:$R$6,2,0)</f>
        <v/>
      </c>
      <c r="Q64" s="216">
        <f>VLOOKUP(Q63,$Q$3:$R$6,2,0)</f>
        <v/>
      </c>
      <c r="R64" s="216">
        <f>VLOOKUP(R63,$Q$3:$R$6,2,0)</f>
        <v/>
      </c>
      <c r="S64" s="216">
        <f>VLOOKUP(S63,$Q$3:$R$6,2,0)</f>
        <v/>
      </c>
      <c r="T64" s="216">
        <f>VLOOKUP(T63,$Q$3:$R$6,2,0)</f>
        <v/>
      </c>
      <c r="U64" s="216">
        <f>VLOOKUP(U63,$Q$3:$R$6,2,0)</f>
        <v/>
      </c>
      <c r="V64" s="216">
        <f>VLOOKUP(V63,$Q$3:$R$6,2,0)</f>
        <v/>
      </c>
      <c r="W64" s="216">
        <f>VLOOKUP(W63,$Q$3:$R$6,2,0)</f>
        <v/>
      </c>
      <c r="X64" s="216">
        <f>VLOOKUP(X63,$Q$3:$R$6,2,0)</f>
        <v/>
      </c>
      <c r="Y64" s="216">
        <f>VLOOKUP(Y63,$Q$3:$R$6,2,0)</f>
        <v/>
      </c>
      <c r="Z64" s="216">
        <f>VLOOKUP(Z63,$Q$3:$R$6,2,0)</f>
        <v/>
      </c>
      <c r="AA64" s="216">
        <f>VLOOKUP(AA63,$Q$3:$R$6,2,0)</f>
        <v/>
      </c>
      <c r="AB64" s="216">
        <f>VLOOKUP(AB63,$Q$3:$R$6,2,0)</f>
        <v/>
      </c>
      <c r="AC64" s="216">
        <f>VLOOKUP(AC63,$Q$3:$R$6,2,0)</f>
        <v/>
      </c>
      <c r="AD64" s="216">
        <f>VLOOKUP(AD63,$Q$3:$R$6,2,0)</f>
        <v/>
      </c>
      <c r="AE64" s="216">
        <f>VLOOKUP(AE63,$Q$3:$R$6,2,0)</f>
        <v/>
      </c>
      <c r="AF64" s="216">
        <f>VLOOKUP(AF63,$Q$3:$R$6,2,0)</f>
        <v/>
      </c>
      <c r="AG64" s="216">
        <f>VLOOKUP(AG63,$Q$3:$R$6,2,0)</f>
        <v/>
      </c>
      <c r="AH64" s="216">
        <f>VLOOKUP(AH63,$Q$3:$R$6,2,0)</f>
        <v/>
      </c>
      <c r="AI64" s="216">
        <f>VLOOKUP(AI63,$Q$3:$R$6,2,0)</f>
        <v/>
      </c>
      <c r="AJ64" s="216">
        <f>VLOOKUP(AJ63,$Q$3:$R$6,2,0)</f>
        <v/>
      </c>
      <c r="AK64" s="216">
        <f>VLOOKUP(AK63,$Q$3:$R$6,2,0)</f>
        <v/>
      </c>
      <c r="AL64" s="216">
        <f>VLOOKUP(AL63,$Q$3:$R$6,2,0)</f>
        <v/>
      </c>
      <c r="AM64" s="216">
        <f>VLOOKUP(AM63,$Q$3:$R$6,2,0)</f>
        <v/>
      </c>
      <c r="AN64" s="216">
        <f>VLOOKUP(AN63,$Q$3:$R$6,2,0)</f>
        <v/>
      </c>
      <c r="AO64" s="216">
        <f>VLOOKUP(AO63,$Q$3:$R$6,2,0)</f>
        <v/>
      </c>
      <c r="AP64" s="216">
        <f>VLOOKUP(AP63,$Q$3:$R$6,2,0)</f>
        <v/>
      </c>
      <c r="AQ64" s="216">
        <f>VLOOKUP(AQ63,$Q$3:$R$6,2,0)</f>
        <v/>
      </c>
      <c r="AR64" s="216">
        <f>VLOOKUP(AR63,$Q$3:$R$6,2,0)</f>
        <v/>
      </c>
      <c r="AS64" s="216">
        <f>VLOOKUP(AS63,$Q$3:$R$6,2,0)</f>
        <v/>
      </c>
      <c r="AT64" s="216">
        <f>VLOOKUP(AT63,$Q$3:$R$6,2,0)</f>
        <v/>
      </c>
      <c r="AU64" s="216">
        <f>VLOOKUP(AU63,$Q$3:$R$6,2,0)</f>
        <v/>
      </c>
      <c r="AV64" s="216">
        <f>VLOOKUP(AV63,$Q$3:$R$6,2,0)</f>
        <v/>
      </c>
      <c r="AW64" s="216">
        <f>VLOOKUP(AW63,$Q$3:$R$6,2,0)</f>
        <v/>
      </c>
      <c r="AX64" s="216">
        <f>VLOOKUP(AX63,$Q$3:$R$6,2,0)</f>
        <v/>
      </c>
      <c r="AY64" s="216">
        <f>VLOOKUP(AY63,$Q$3:$R$6,2,0)</f>
        <v/>
      </c>
      <c r="AZ64" s="216">
        <f>VLOOKUP(AZ63,$Q$3:$R$6,2,0)</f>
        <v/>
      </c>
      <c r="BA64" s="216">
        <f>VLOOKUP(BA63,$Q$3:$R$6,2,0)</f>
        <v/>
      </c>
      <c r="BB64" s="216">
        <f>VLOOKUP(BB63,$Q$3:$R$6,2,0)</f>
        <v/>
      </c>
      <c r="BC64" s="216">
        <f>VLOOKUP(BC63,$Q$3:$R$6,2,0)</f>
        <v/>
      </c>
      <c r="BD64" s="217">
        <f>VLOOKUP(BD63,$Q$3:$R$6,2,0)</f>
        <v/>
      </c>
      <c r="BE64" s="217">
        <f>VLOOKUP(BE63,$Q$3:$R$6,2,0)</f>
        <v/>
      </c>
      <c r="BF64" s="217">
        <f>VLOOKUP(BF63,$Q$3:$R$6,2,0)</f>
        <v/>
      </c>
      <c r="BG64" s="217">
        <f>VLOOKUP(BG63,$Q$3:$R$6,2,0)</f>
        <v/>
      </c>
      <c r="BH64" s="217">
        <f>VLOOKUP(BH63,$Q$3:$R$6,2,0)</f>
        <v/>
      </c>
      <c r="BI64" s="217">
        <f>VLOOKUP(BI63,$Q$3:$R$6,2,0)</f>
        <v/>
      </c>
      <c r="BJ64" s="217">
        <f>VLOOKUP(BJ63,$Q$3:$R$6,2,0)</f>
        <v/>
      </c>
      <c r="BK64" s="217">
        <f>VLOOKUP(BK63,$Q$3:$R$6,2,0)</f>
        <v/>
      </c>
      <c r="BL64" s="217">
        <f>VLOOKUP(BL63,$Q$3:$R$6,2,0)</f>
        <v/>
      </c>
      <c r="BM64" s="217">
        <f>VLOOKUP(BM63,$Q$3:$R$6,2,0)</f>
        <v/>
      </c>
      <c r="BN64" s="217">
        <f>VLOOKUP(BN63,$Q$3:$R$6,2,0)</f>
        <v/>
      </c>
      <c r="BO64" s="217">
        <f>VLOOKUP(BO63,$Q$3:$R$6,2,0)</f>
        <v/>
      </c>
      <c r="BP64" s="217">
        <f>VLOOKUP(BP63,$Q$3:$R$6,2,0)</f>
        <v/>
      </c>
      <c r="BQ64" s="234" t="n"/>
      <c r="BR64" s="67" t="n"/>
    </row>
    <row r="65" ht="17" customHeight="1" s="165">
      <c r="A65" s="210" t="n"/>
      <c r="B65" s="57" t="inlineStr">
        <is>
          <t>Annual Travel Distance (km)</t>
        </is>
      </c>
      <c r="C65" s="235" t="n"/>
      <c r="D65" s="235" t="n"/>
      <c r="E65" s="235" t="n"/>
      <c r="F65" s="235" t="n"/>
      <c r="G65" s="235" t="n"/>
      <c r="H65" s="235" t="n"/>
      <c r="I65" s="235" t="n"/>
      <c r="J65" s="235" t="n"/>
      <c r="K65" s="235" t="n"/>
      <c r="L65" s="235" t="n"/>
      <c r="M65" s="235" t="n"/>
      <c r="N65" s="235" t="n"/>
      <c r="O65" s="235" t="n"/>
      <c r="P65" s="235" t="n"/>
      <c r="Q65" s="235" t="n"/>
      <c r="R65" s="235" t="n"/>
      <c r="S65" s="235" t="n"/>
      <c r="T65" s="235" t="n"/>
      <c r="U65" s="235" t="n"/>
      <c r="V65" s="235" t="n"/>
      <c r="W65" s="235" t="n"/>
      <c r="X65" s="235" t="n"/>
      <c r="Y65" s="235" t="n"/>
      <c r="Z65" s="235" t="n"/>
      <c r="AA65" s="235" t="n"/>
      <c r="AB65" s="235" t="n"/>
      <c r="AC65" s="235" t="n"/>
      <c r="AD65" s="235" t="n"/>
      <c r="AE65" s="235" t="n"/>
      <c r="AF65" s="235" t="n"/>
      <c r="AG65" s="235" t="n"/>
      <c r="AH65" s="235" t="n"/>
      <c r="AI65" s="235" t="n"/>
      <c r="AJ65" s="235" t="n"/>
      <c r="AK65" s="235" t="n"/>
      <c r="AL65" s="235" t="n"/>
      <c r="AM65" s="235" t="n"/>
      <c r="AN65" s="235" t="n"/>
      <c r="AO65" s="235" t="n"/>
      <c r="AP65" s="235" t="n"/>
      <c r="AQ65" s="235" t="n"/>
      <c r="AR65" s="235" t="n"/>
      <c r="AS65" s="235" t="n"/>
      <c r="AT65" s="235" t="n"/>
      <c r="AU65" s="235" t="n"/>
      <c r="AV65" s="235" t="n"/>
      <c r="AW65" s="235" t="n"/>
      <c r="AX65" s="235" t="n"/>
      <c r="AY65" s="235" t="n"/>
      <c r="AZ65" s="235" t="n"/>
      <c r="BA65" s="235" t="n"/>
      <c r="BB65" s="235" t="n"/>
      <c r="BC65" s="235" t="n"/>
      <c r="BD65" s="236" t="n"/>
      <c r="BE65" s="236" t="n"/>
      <c r="BF65" s="236" t="n"/>
      <c r="BG65" s="236" t="n"/>
      <c r="BH65" s="236" t="n"/>
      <c r="BI65" s="236" t="n"/>
      <c r="BJ65" s="236" t="n"/>
      <c r="BK65" s="236" t="n"/>
      <c r="BL65" s="236" t="n"/>
      <c r="BM65" s="236" t="n"/>
      <c r="BN65" s="236" t="n"/>
      <c r="BO65" s="236" t="n"/>
      <c r="BP65" s="236" t="n"/>
      <c r="BQ65" s="234" t="n"/>
      <c r="BR65" s="67" t="n"/>
    </row>
    <row r="66" ht="18.5" customHeight="1" s="165">
      <c r="A66" s="192" t="n"/>
      <c r="B66" s="77" t="inlineStr">
        <is>
          <t>Total Sold Weight (kg)</t>
        </is>
      </c>
      <c r="C66" s="78" t="n"/>
      <c r="D66" s="78" t="n"/>
      <c r="E66" s="78" t="n"/>
      <c r="F66" s="78" t="n"/>
      <c r="G66" s="78" t="n"/>
      <c r="H66" s="78" t="n"/>
      <c r="I66" s="78" t="n"/>
      <c r="J66" s="78" t="n"/>
      <c r="K66" s="78" t="n"/>
      <c r="L66" s="78" t="n"/>
      <c r="M66" s="78" t="n"/>
      <c r="N66" s="78" t="n"/>
      <c r="O66" s="78" t="n"/>
      <c r="P66" s="78" t="n"/>
      <c r="Q66" s="78" t="n"/>
      <c r="R66" s="78" t="n"/>
      <c r="S66" s="78" t="n"/>
      <c r="T66" s="78" t="n"/>
      <c r="U66" s="78" t="n"/>
      <c r="V66" s="78" t="n"/>
      <c r="W66" s="78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8" t="n"/>
      <c r="AK66" s="78" t="n"/>
      <c r="AL66" s="78" t="n"/>
      <c r="AM66" s="78" t="n"/>
      <c r="AN66" s="78" t="n"/>
      <c r="AO66" s="78" t="n"/>
      <c r="AP66" s="78" t="n"/>
      <c r="AQ66" s="78" t="n"/>
      <c r="AR66" s="78" t="n"/>
      <c r="AS66" s="78" t="n"/>
      <c r="AT66" s="78" t="n"/>
      <c r="AU66" s="78" t="n"/>
      <c r="AV66" s="78" t="n"/>
      <c r="AW66" s="78" t="n"/>
      <c r="AX66" s="78" t="n"/>
      <c r="AY66" s="78" t="n"/>
      <c r="AZ66" s="78" t="n"/>
      <c r="BA66" s="78" t="n"/>
      <c r="BB66" s="78" t="n"/>
      <c r="BC66" s="78" t="n"/>
      <c r="BD66" s="79" t="n"/>
      <c r="BE66" s="79" t="n"/>
      <c r="BF66" s="79" t="n"/>
      <c r="BG66" s="79" t="n"/>
      <c r="BH66" s="79" t="n"/>
      <c r="BI66" s="79" t="n"/>
      <c r="BJ66" s="79" t="n"/>
      <c r="BK66" s="79" t="n"/>
      <c r="BL66" s="79" t="n"/>
      <c r="BM66" s="79" t="n"/>
      <c r="BN66" s="79" t="n"/>
      <c r="BO66" s="79" t="n"/>
      <c r="BP66" s="79" t="n"/>
      <c r="BQ66" s="198">
        <f t="array" ref="BQ66">SUMPRODUCT(C64:BP64,C65:BP65,C66:BP66/1000)</f>
        <v/>
      </c>
      <c r="BR66" s="199">
        <f>BQ66/1000</f>
        <v/>
      </c>
    </row>
    <row r="67" ht="18.5" customHeight="1" s="165">
      <c r="A67" s="152" t="inlineStr">
        <is>
          <t>Žilina</t>
        </is>
      </c>
      <c r="B67" s="56" t="inlineStr">
        <is>
          <t>Transport Mode</t>
        </is>
      </c>
      <c r="C67" s="213" t="inlineStr">
        <is>
          <t>Rail</t>
        </is>
      </c>
      <c r="D67" s="213" t="inlineStr">
        <is>
          <t>Truck</t>
        </is>
      </c>
      <c r="E67" s="213" t="inlineStr">
        <is>
          <t>Truck</t>
        </is>
      </c>
      <c r="F67" s="213" t="inlineStr">
        <is>
          <t>Air</t>
        </is>
      </c>
      <c r="G67" s="213" t="inlineStr">
        <is>
          <t>Truck</t>
        </is>
      </c>
      <c r="H67" s="213" t="inlineStr">
        <is>
          <t>Truck</t>
        </is>
      </c>
      <c r="I67" s="213" t="inlineStr">
        <is>
          <t>Truck</t>
        </is>
      </c>
      <c r="J67" s="213" t="inlineStr">
        <is>
          <t>Truck</t>
        </is>
      </c>
      <c r="K67" s="213" t="inlineStr">
        <is>
          <t>Truck</t>
        </is>
      </c>
      <c r="L67" s="213" t="inlineStr">
        <is>
          <t>Ocean Vessel</t>
        </is>
      </c>
      <c r="M67" s="213" t="inlineStr">
        <is>
          <t>Truck</t>
        </is>
      </c>
      <c r="N67" s="213" t="inlineStr">
        <is>
          <t>Truck</t>
        </is>
      </c>
      <c r="O67" s="213" t="inlineStr">
        <is>
          <t>Truck</t>
        </is>
      </c>
      <c r="P67" s="213" t="inlineStr">
        <is>
          <t>Truck</t>
        </is>
      </c>
      <c r="Q67" s="213" t="inlineStr">
        <is>
          <t>Truck</t>
        </is>
      </c>
      <c r="R67" s="213" t="inlineStr">
        <is>
          <t>Truck</t>
        </is>
      </c>
      <c r="S67" s="213" t="inlineStr">
        <is>
          <t>Truck</t>
        </is>
      </c>
      <c r="T67" s="213" t="inlineStr">
        <is>
          <t>Truck</t>
        </is>
      </c>
      <c r="U67" s="213" t="inlineStr">
        <is>
          <t>Truck</t>
        </is>
      </c>
      <c r="V67" s="213" t="inlineStr">
        <is>
          <t>Truck</t>
        </is>
      </c>
      <c r="W67" s="213" t="inlineStr">
        <is>
          <t>Truck</t>
        </is>
      </c>
      <c r="X67" s="213" t="inlineStr">
        <is>
          <t>Truck</t>
        </is>
      </c>
      <c r="Y67" s="213" t="inlineStr">
        <is>
          <t>Truck</t>
        </is>
      </c>
      <c r="Z67" s="213" t="inlineStr">
        <is>
          <t>Truck</t>
        </is>
      </c>
      <c r="AA67" s="213" t="inlineStr">
        <is>
          <t>Truck</t>
        </is>
      </c>
      <c r="AB67" s="213" t="inlineStr">
        <is>
          <t>Truck</t>
        </is>
      </c>
      <c r="AC67" s="213" t="inlineStr">
        <is>
          <t>Truck</t>
        </is>
      </c>
      <c r="AD67" s="213" t="inlineStr">
        <is>
          <t>Truck</t>
        </is>
      </c>
      <c r="AE67" s="213" t="inlineStr">
        <is>
          <t>Truck</t>
        </is>
      </c>
      <c r="AF67" s="213" t="inlineStr">
        <is>
          <t>Truck</t>
        </is>
      </c>
      <c r="AG67" s="213" t="inlineStr">
        <is>
          <t>Truck</t>
        </is>
      </c>
      <c r="AH67" s="213" t="inlineStr">
        <is>
          <t>Truck</t>
        </is>
      </c>
      <c r="AI67" s="213" t="inlineStr">
        <is>
          <t>Truck</t>
        </is>
      </c>
      <c r="AJ67" s="213" t="inlineStr">
        <is>
          <t>Truck</t>
        </is>
      </c>
      <c r="AK67" s="213" t="inlineStr">
        <is>
          <t>Truck</t>
        </is>
      </c>
      <c r="AL67" s="213" t="inlineStr">
        <is>
          <t>Truck</t>
        </is>
      </c>
      <c r="AM67" s="213" t="inlineStr">
        <is>
          <t>Truck</t>
        </is>
      </c>
      <c r="AN67" s="213" t="inlineStr">
        <is>
          <t>Truck</t>
        </is>
      </c>
      <c r="AO67" s="213" t="inlineStr">
        <is>
          <t>Truck</t>
        </is>
      </c>
      <c r="AP67" s="213" t="inlineStr">
        <is>
          <t>Truck</t>
        </is>
      </c>
      <c r="AQ67" s="213" t="inlineStr">
        <is>
          <t>Truck</t>
        </is>
      </c>
      <c r="AR67" s="213" t="inlineStr">
        <is>
          <t>Truck</t>
        </is>
      </c>
      <c r="AS67" s="213" t="inlineStr">
        <is>
          <t>Truck</t>
        </is>
      </c>
      <c r="AT67" s="213" t="inlineStr">
        <is>
          <t>Truck</t>
        </is>
      </c>
      <c r="AU67" s="213" t="inlineStr">
        <is>
          <t>Truck</t>
        </is>
      </c>
      <c r="AV67" s="213" t="inlineStr">
        <is>
          <t>Truck</t>
        </is>
      </c>
      <c r="AW67" s="213" t="inlineStr">
        <is>
          <t>Truck</t>
        </is>
      </c>
      <c r="AX67" s="213" t="inlineStr">
        <is>
          <t>Truck</t>
        </is>
      </c>
      <c r="AY67" s="213" t="inlineStr">
        <is>
          <t>Truck</t>
        </is>
      </c>
      <c r="AZ67" s="213" t="inlineStr">
        <is>
          <t>Truck</t>
        </is>
      </c>
      <c r="BA67" s="213" t="inlineStr">
        <is>
          <t>Truck</t>
        </is>
      </c>
      <c r="BB67" s="213" t="inlineStr">
        <is>
          <t>Truck</t>
        </is>
      </c>
      <c r="BC67" s="213" t="inlineStr">
        <is>
          <t>Truck</t>
        </is>
      </c>
      <c r="BD67" s="214" t="inlineStr">
        <is>
          <t>Truck</t>
        </is>
      </c>
      <c r="BE67" s="214" t="inlineStr">
        <is>
          <t>Truck</t>
        </is>
      </c>
      <c r="BF67" s="214" t="inlineStr">
        <is>
          <t>Truck</t>
        </is>
      </c>
      <c r="BG67" s="214" t="inlineStr">
        <is>
          <t>Truck</t>
        </is>
      </c>
      <c r="BH67" s="214" t="inlineStr">
        <is>
          <t>Truck</t>
        </is>
      </c>
      <c r="BI67" s="214" t="inlineStr">
        <is>
          <t>Truck</t>
        </is>
      </c>
      <c r="BJ67" s="214" t="inlineStr">
        <is>
          <t>Truck</t>
        </is>
      </c>
      <c r="BK67" s="214" t="inlineStr">
        <is>
          <t>Truck</t>
        </is>
      </c>
      <c r="BL67" s="214" t="inlineStr">
        <is>
          <t>Truck</t>
        </is>
      </c>
      <c r="BM67" s="214" t="inlineStr">
        <is>
          <t>Truck</t>
        </is>
      </c>
      <c r="BN67" s="214" t="inlineStr">
        <is>
          <t>Truck</t>
        </is>
      </c>
      <c r="BO67" s="214" t="inlineStr">
        <is>
          <t>Truck</t>
        </is>
      </c>
      <c r="BP67" s="214" t="inlineStr">
        <is>
          <t>Truck</t>
        </is>
      </c>
      <c r="BQ67" s="70" t="n"/>
      <c r="BR67" s="67" t="n"/>
    </row>
    <row r="68" ht="17" customHeight="1" s="165">
      <c r="A68" s="210" t="n"/>
      <c r="B68" s="152" t="inlineStr">
        <is>
          <t>Emission Factor (Auto)</t>
        </is>
      </c>
      <c r="C68" s="216">
        <f>VLOOKUP(C67,$Q$3:$R$6,2,0)</f>
        <v/>
      </c>
      <c r="D68" s="216">
        <f>VLOOKUP(D67,$Q$3:$R$6,2,0)</f>
        <v/>
      </c>
      <c r="E68" s="216">
        <f>VLOOKUP(E67,$Q$3:$R$6,2,0)</f>
        <v/>
      </c>
      <c r="F68" s="216">
        <f>VLOOKUP(F67,$Q$3:$R$6,2,0)</f>
        <v/>
      </c>
      <c r="G68" s="216">
        <f>VLOOKUP(G67,$Q$3:$R$6,2,0)</f>
        <v/>
      </c>
      <c r="H68" s="216">
        <f>VLOOKUP(H67,$Q$3:$R$6,2,0)</f>
        <v/>
      </c>
      <c r="I68" s="216">
        <f>VLOOKUP(I67,$Q$3:$R$6,2,0)</f>
        <v/>
      </c>
      <c r="J68" s="216">
        <f>VLOOKUP(J67,$Q$3:$R$6,2,0)</f>
        <v/>
      </c>
      <c r="K68" s="216">
        <f>VLOOKUP(K67,$Q$3:$R$6,2,0)</f>
        <v/>
      </c>
      <c r="L68" s="216">
        <f>VLOOKUP(L67,$Q$3:$R$6,2,0)</f>
        <v/>
      </c>
      <c r="M68" s="216">
        <f>VLOOKUP(M67,$Q$3:$R$6,2,0)</f>
        <v/>
      </c>
      <c r="N68" s="216">
        <f>VLOOKUP(N67,$Q$3:$R$6,2,0)</f>
        <v/>
      </c>
      <c r="O68" s="216">
        <f>VLOOKUP(O67,$Q$3:$R$6,2,0)</f>
        <v/>
      </c>
      <c r="P68" s="216">
        <f>VLOOKUP(P67,$Q$3:$R$6,2,0)</f>
        <v/>
      </c>
      <c r="Q68" s="216">
        <f>VLOOKUP(Q67,$Q$3:$R$6,2,0)</f>
        <v/>
      </c>
      <c r="R68" s="216">
        <f>VLOOKUP(R67,$Q$3:$R$6,2,0)</f>
        <v/>
      </c>
      <c r="S68" s="216">
        <f>VLOOKUP(S67,$Q$3:$R$6,2,0)</f>
        <v/>
      </c>
      <c r="T68" s="216">
        <f>VLOOKUP(T67,$Q$3:$R$6,2,0)</f>
        <v/>
      </c>
      <c r="U68" s="216">
        <f>VLOOKUP(U67,$Q$3:$R$6,2,0)</f>
        <v/>
      </c>
      <c r="V68" s="216">
        <f>VLOOKUP(V67,$Q$3:$R$6,2,0)</f>
        <v/>
      </c>
      <c r="W68" s="216">
        <f>VLOOKUP(W67,$Q$3:$R$6,2,0)</f>
        <v/>
      </c>
      <c r="X68" s="216">
        <f>VLOOKUP(X67,$Q$3:$R$6,2,0)</f>
        <v/>
      </c>
      <c r="Y68" s="216">
        <f>VLOOKUP(Y67,$Q$3:$R$6,2,0)</f>
        <v/>
      </c>
      <c r="Z68" s="216">
        <f>VLOOKUP(Z67,$Q$3:$R$6,2,0)</f>
        <v/>
      </c>
      <c r="AA68" s="216">
        <f>VLOOKUP(AA67,$Q$3:$R$6,2,0)</f>
        <v/>
      </c>
      <c r="AB68" s="216">
        <f>VLOOKUP(AB67,$Q$3:$R$6,2,0)</f>
        <v/>
      </c>
      <c r="AC68" s="216">
        <f>VLOOKUP(AC67,$Q$3:$R$6,2,0)</f>
        <v/>
      </c>
      <c r="AD68" s="216">
        <f>VLOOKUP(AD67,$Q$3:$R$6,2,0)</f>
        <v/>
      </c>
      <c r="AE68" s="216">
        <f>VLOOKUP(AE67,$Q$3:$R$6,2,0)</f>
        <v/>
      </c>
      <c r="AF68" s="216">
        <f>VLOOKUP(AF67,$Q$3:$R$6,2,0)</f>
        <v/>
      </c>
      <c r="AG68" s="216">
        <f>VLOOKUP(AG67,$Q$3:$R$6,2,0)</f>
        <v/>
      </c>
      <c r="AH68" s="216">
        <f>VLOOKUP(AH67,$Q$3:$R$6,2,0)</f>
        <v/>
      </c>
      <c r="AI68" s="216">
        <f>VLOOKUP(AI67,$Q$3:$R$6,2,0)</f>
        <v/>
      </c>
      <c r="AJ68" s="216">
        <f>VLOOKUP(AJ67,$Q$3:$R$6,2,0)</f>
        <v/>
      </c>
      <c r="AK68" s="216">
        <f>VLOOKUP(AK67,$Q$3:$R$6,2,0)</f>
        <v/>
      </c>
      <c r="AL68" s="216">
        <f>VLOOKUP(AL67,$Q$3:$R$6,2,0)</f>
        <v/>
      </c>
      <c r="AM68" s="216">
        <f>VLOOKUP(AM67,$Q$3:$R$6,2,0)</f>
        <v/>
      </c>
      <c r="AN68" s="216">
        <f>VLOOKUP(AN67,$Q$3:$R$6,2,0)</f>
        <v/>
      </c>
      <c r="AO68" s="216">
        <f>VLOOKUP(AO67,$Q$3:$R$6,2,0)</f>
        <v/>
      </c>
      <c r="AP68" s="216">
        <f>VLOOKUP(AP67,$Q$3:$R$6,2,0)</f>
        <v/>
      </c>
      <c r="AQ68" s="216">
        <f>VLOOKUP(AQ67,$Q$3:$R$6,2,0)</f>
        <v/>
      </c>
      <c r="AR68" s="216">
        <f>VLOOKUP(AR67,$Q$3:$R$6,2,0)</f>
        <v/>
      </c>
      <c r="AS68" s="216">
        <f>VLOOKUP(AS67,$Q$3:$R$6,2,0)</f>
        <v/>
      </c>
      <c r="AT68" s="216">
        <f>VLOOKUP(AT67,$Q$3:$R$6,2,0)</f>
        <v/>
      </c>
      <c r="AU68" s="216">
        <f>VLOOKUP(AU67,$Q$3:$R$6,2,0)</f>
        <v/>
      </c>
      <c r="AV68" s="216">
        <f>VLOOKUP(AV67,$Q$3:$R$6,2,0)</f>
        <v/>
      </c>
      <c r="AW68" s="216">
        <f>VLOOKUP(AW67,$Q$3:$R$6,2,0)</f>
        <v/>
      </c>
      <c r="AX68" s="216">
        <f>VLOOKUP(AX67,$Q$3:$R$6,2,0)</f>
        <v/>
      </c>
      <c r="AY68" s="216">
        <f>VLOOKUP(AY67,$Q$3:$R$6,2,0)</f>
        <v/>
      </c>
      <c r="AZ68" s="216">
        <f>VLOOKUP(AZ67,$Q$3:$R$6,2,0)</f>
        <v/>
      </c>
      <c r="BA68" s="216">
        <f>VLOOKUP(BA67,$Q$3:$R$6,2,0)</f>
        <v/>
      </c>
      <c r="BB68" s="216">
        <f>VLOOKUP(BB67,$Q$3:$R$6,2,0)</f>
        <v/>
      </c>
      <c r="BC68" s="216">
        <f>VLOOKUP(BC67,$Q$3:$R$6,2,0)</f>
        <v/>
      </c>
      <c r="BD68" s="217">
        <f>VLOOKUP(BD67,$Q$3:$R$6,2,0)</f>
        <v/>
      </c>
      <c r="BE68" s="217">
        <f>VLOOKUP(BE67,$Q$3:$R$6,2,0)</f>
        <v/>
      </c>
      <c r="BF68" s="217">
        <f>VLOOKUP(BF67,$Q$3:$R$6,2,0)</f>
        <v/>
      </c>
      <c r="BG68" s="217">
        <f>VLOOKUP(BG67,$Q$3:$R$6,2,0)</f>
        <v/>
      </c>
      <c r="BH68" s="217">
        <f>VLOOKUP(BH67,$Q$3:$R$6,2,0)</f>
        <v/>
      </c>
      <c r="BI68" s="217">
        <f>VLOOKUP(BI67,$Q$3:$R$6,2,0)</f>
        <v/>
      </c>
      <c r="BJ68" s="217">
        <f>VLOOKUP(BJ67,$Q$3:$R$6,2,0)</f>
        <v/>
      </c>
      <c r="BK68" s="217">
        <f>VLOOKUP(BK67,$Q$3:$R$6,2,0)</f>
        <v/>
      </c>
      <c r="BL68" s="217">
        <f>VLOOKUP(BL67,$Q$3:$R$6,2,0)</f>
        <v/>
      </c>
      <c r="BM68" s="217">
        <f>VLOOKUP(BM67,$Q$3:$R$6,2,0)</f>
        <v/>
      </c>
      <c r="BN68" s="217">
        <f>VLOOKUP(BN67,$Q$3:$R$6,2,0)</f>
        <v/>
      </c>
      <c r="BO68" s="217">
        <f>VLOOKUP(BO67,$Q$3:$R$6,2,0)</f>
        <v/>
      </c>
      <c r="BP68" s="217">
        <f>VLOOKUP(BP67,$Q$3:$R$6,2,0)</f>
        <v/>
      </c>
      <c r="BQ68" s="234" t="n"/>
      <c r="BR68" s="67" t="n"/>
    </row>
    <row r="69" ht="17" customHeight="1" s="165">
      <c r="A69" s="210" t="n"/>
      <c r="B69" s="57" t="inlineStr">
        <is>
          <t>Annual Travel Distance (km)</t>
        </is>
      </c>
      <c r="C69" s="235" t="n"/>
      <c r="D69" s="235" t="n"/>
      <c r="E69" s="235" t="n"/>
      <c r="F69" s="235" t="n"/>
      <c r="G69" s="235" t="n"/>
      <c r="H69" s="235" t="n"/>
      <c r="I69" s="235" t="n"/>
      <c r="J69" s="235" t="n"/>
      <c r="K69" s="235" t="n"/>
      <c r="L69" s="235" t="n"/>
      <c r="M69" s="235" t="n"/>
      <c r="N69" s="235" t="n"/>
      <c r="O69" s="235" t="n"/>
      <c r="P69" s="235" t="n"/>
      <c r="Q69" s="235" t="n"/>
      <c r="R69" s="235" t="n"/>
      <c r="S69" s="235" t="n"/>
      <c r="T69" s="235" t="n"/>
      <c r="U69" s="235" t="n"/>
      <c r="V69" s="235" t="n"/>
      <c r="W69" s="235" t="n"/>
      <c r="X69" s="235" t="n"/>
      <c r="Y69" s="235" t="n"/>
      <c r="Z69" s="235" t="n"/>
      <c r="AA69" s="235" t="n"/>
      <c r="AB69" s="235" t="n"/>
      <c r="AC69" s="235" t="n"/>
      <c r="AD69" s="235" t="n"/>
      <c r="AE69" s="235" t="n"/>
      <c r="AF69" s="235" t="n"/>
      <c r="AG69" s="235" t="n"/>
      <c r="AH69" s="235" t="n"/>
      <c r="AI69" s="235" t="n"/>
      <c r="AJ69" s="235" t="n"/>
      <c r="AK69" s="235" t="n"/>
      <c r="AL69" s="235" t="n"/>
      <c r="AM69" s="235" t="n"/>
      <c r="AN69" s="235" t="n"/>
      <c r="AO69" s="235" t="n"/>
      <c r="AP69" s="235" t="n"/>
      <c r="AQ69" s="235" t="n"/>
      <c r="AR69" s="235" t="n"/>
      <c r="AS69" s="235" t="n"/>
      <c r="AT69" s="235" t="n"/>
      <c r="AU69" s="235" t="n"/>
      <c r="AV69" s="235" t="n"/>
      <c r="AW69" s="235" t="n"/>
      <c r="AX69" s="235" t="n"/>
      <c r="AY69" s="235" t="n"/>
      <c r="AZ69" s="235" t="n"/>
      <c r="BA69" s="235" t="n"/>
      <c r="BB69" s="235" t="n"/>
      <c r="BC69" s="235" t="n"/>
      <c r="BD69" s="236" t="n"/>
      <c r="BE69" s="236" t="n"/>
      <c r="BF69" s="236" t="n"/>
      <c r="BG69" s="236" t="n"/>
      <c r="BH69" s="236" t="n"/>
      <c r="BI69" s="236" t="n"/>
      <c r="BJ69" s="236" t="n"/>
      <c r="BK69" s="236" t="n"/>
      <c r="BL69" s="236" t="n"/>
      <c r="BM69" s="236" t="n"/>
      <c r="BN69" s="236" t="n"/>
      <c r="BO69" s="236" t="n"/>
      <c r="BP69" s="236" t="n"/>
      <c r="BQ69" s="234" t="n"/>
      <c r="BR69" s="67" t="n"/>
    </row>
    <row r="70" ht="18.5" customHeight="1" s="165">
      <c r="A70" s="192" t="n"/>
      <c r="B70" s="77" t="inlineStr">
        <is>
          <t>Total Sold Weight (kg)</t>
        </is>
      </c>
      <c r="C70" s="78" t="n"/>
      <c r="D70" s="78" t="n"/>
      <c r="E70" s="78" t="n"/>
      <c r="F70" s="78" t="n"/>
      <c r="G70" s="78" t="n"/>
      <c r="H70" s="78" t="n"/>
      <c r="I70" s="78" t="n"/>
      <c r="J70" s="78" t="n"/>
      <c r="K70" s="78" t="n"/>
      <c r="L70" s="78" t="n"/>
      <c r="M70" s="78" t="n"/>
      <c r="N70" s="78" t="n"/>
      <c r="O70" s="78" t="n"/>
      <c r="P70" s="78" t="n"/>
      <c r="Q70" s="78" t="n"/>
      <c r="R70" s="78" t="n"/>
      <c r="S70" s="78" t="n"/>
      <c r="T70" s="78" t="n"/>
      <c r="U70" s="78" t="n"/>
      <c r="V70" s="78" t="n"/>
      <c r="W70" s="78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8" t="n"/>
      <c r="AK70" s="78" t="n"/>
      <c r="AL70" s="78" t="n"/>
      <c r="AM70" s="78" t="n"/>
      <c r="AN70" s="78" t="n"/>
      <c r="AO70" s="78" t="n"/>
      <c r="AP70" s="78" t="n"/>
      <c r="AQ70" s="78" t="n"/>
      <c r="AR70" s="78" t="n"/>
      <c r="AS70" s="78" t="n"/>
      <c r="AT70" s="78" t="n"/>
      <c r="AU70" s="78" t="n"/>
      <c r="AV70" s="78" t="n"/>
      <c r="AW70" s="78" t="n"/>
      <c r="AX70" s="78" t="n"/>
      <c r="AY70" s="78" t="n"/>
      <c r="AZ70" s="78" t="n"/>
      <c r="BA70" s="78" t="n"/>
      <c r="BB70" s="78" t="n"/>
      <c r="BC70" s="78" t="n"/>
      <c r="BD70" s="79" t="n"/>
      <c r="BE70" s="79" t="n"/>
      <c r="BF70" s="79" t="n"/>
      <c r="BG70" s="79" t="n"/>
      <c r="BH70" s="79" t="n"/>
      <c r="BI70" s="79" t="n"/>
      <c r="BJ70" s="79" t="n"/>
      <c r="BK70" s="79" t="n"/>
      <c r="BL70" s="79" t="n"/>
      <c r="BM70" s="79" t="n"/>
      <c r="BN70" s="79" t="n"/>
      <c r="BO70" s="79" t="n"/>
      <c r="BP70" s="79" t="n"/>
      <c r="BQ70" s="198">
        <f t="array" ref="BQ70">SUMPRODUCT(C68:BP68,C69:BP69,C70:BP70/1000)</f>
        <v/>
      </c>
      <c r="BR70" s="199">
        <f>BQ70/1000</f>
        <v/>
      </c>
    </row>
    <row r="71" ht="18.5" customHeight="1" s="165">
      <c r="A71" s="152" t="inlineStr">
        <is>
          <t>Bystřice</t>
        </is>
      </c>
      <c r="B71" s="56" t="inlineStr">
        <is>
          <t>Transport Mode</t>
        </is>
      </c>
      <c r="C71" s="213" t="inlineStr">
        <is>
          <t>Rail</t>
        </is>
      </c>
      <c r="D71" s="213" t="inlineStr">
        <is>
          <t>Truck</t>
        </is>
      </c>
      <c r="E71" s="213" t="inlineStr">
        <is>
          <t>Truck</t>
        </is>
      </c>
      <c r="F71" s="213" t="inlineStr">
        <is>
          <t>Air</t>
        </is>
      </c>
      <c r="G71" s="213" t="inlineStr">
        <is>
          <t>Truck</t>
        </is>
      </c>
      <c r="H71" s="213" t="inlineStr">
        <is>
          <t>Truck</t>
        </is>
      </c>
      <c r="I71" s="213" t="inlineStr">
        <is>
          <t>Truck</t>
        </is>
      </c>
      <c r="J71" s="213" t="inlineStr">
        <is>
          <t>Truck</t>
        </is>
      </c>
      <c r="K71" s="213" t="inlineStr">
        <is>
          <t>Truck</t>
        </is>
      </c>
      <c r="L71" s="213" t="inlineStr">
        <is>
          <t>Ocean Vessel</t>
        </is>
      </c>
      <c r="M71" s="213" t="inlineStr">
        <is>
          <t>Truck</t>
        </is>
      </c>
      <c r="N71" s="213" t="inlineStr">
        <is>
          <t>Truck</t>
        </is>
      </c>
      <c r="O71" s="213" t="inlineStr">
        <is>
          <t>Truck</t>
        </is>
      </c>
      <c r="P71" s="213" t="inlineStr">
        <is>
          <t>Truck</t>
        </is>
      </c>
      <c r="Q71" s="213" t="inlineStr">
        <is>
          <t>Truck</t>
        </is>
      </c>
      <c r="R71" s="213" t="inlineStr">
        <is>
          <t>Truck</t>
        </is>
      </c>
      <c r="S71" s="213" t="inlineStr">
        <is>
          <t>Truck</t>
        </is>
      </c>
      <c r="T71" s="213" t="inlineStr">
        <is>
          <t>Truck</t>
        </is>
      </c>
      <c r="U71" s="213" t="inlineStr">
        <is>
          <t>Truck</t>
        </is>
      </c>
      <c r="V71" s="213" t="inlineStr">
        <is>
          <t>Truck</t>
        </is>
      </c>
      <c r="W71" s="213" t="inlineStr">
        <is>
          <t>Truck</t>
        </is>
      </c>
      <c r="X71" s="213" t="inlineStr">
        <is>
          <t>Truck</t>
        </is>
      </c>
      <c r="Y71" s="213" t="inlineStr">
        <is>
          <t>Truck</t>
        </is>
      </c>
      <c r="Z71" s="213" t="inlineStr">
        <is>
          <t>Truck</t>
        </is>
      </c>
      <c r="AA71" s="213" t="inlineStr">
        <is>
          <t>Truck</t>
        </is>
      </c>
      <c r="AB71" s="213" t="inlineStr">
        <is>
          <t>Truck</t>
        </is>
      </c>
      <c r="AC71" s="213" t="inlineStr">
        <is>
          <t>Truck</t>
        </is>
      </c>
      <c r="AD71" s="213" t="inlineStr">
        <is>
          <t>Truck</t>
        </is>
      </c>
      <c r="AE71" s="213" t="inlineStr">
        <is>
          <t>Truck</t>
        </is>
      </c>
      <c r="AF71" s="213" t="inlineStr">
        <is>
          <t>Truck</t>
        </is>
      </c>
      <c r="AG71" s="213" t="inlineStr">
        <is>
          <t>Truck</t>
        </is>
      </c>
      <c r="AH71" s="213" t="inlineStr">
        <is>
          <t>Truck</t>
        </is>
      </c>
      <c r="AI71" s="213" t="inlineStr">
        <is>
          <t>Truck</t>
        </is>
      </c>
      <c r="AJ71" s="213" t="inlineStr">
        <is>
          <t>Truck</t>
        </is>
      </c>
      <c r="AK71" s="213" t="inlineStr">
        <is>
          <t>Truck</t>
        </is>
      </c>
      <c r="AL71" s="213" t="inlineStr">
        <is>
          <t>Truck</t>
        </is>
      </c>
      <c r="AM71" s="213" t="inlineStr">
        <is>
          <t>Truck</t>
        </is>
      </c>
      <c r="AN71" s="213" t="inlineStr">
        <is>
          <t>Truck</t>
        </is>
      </c>
      <c r="AO71" s="213" t="inlineStr">
        <is>
          <t>Truck</t>
        </is>
      </c>
      <c r="AP71" s="213" t="inlineStr">
        <is>
          <t>Truck</t>
        </is>
      </c>
      <c r="AQ71" s="213" t="inlineStr">
        <is>
          <t>Truck</t>
        </is>
      </c>
      <c r="AR71" s="213" t="inlineStr">
        <is>
          <t>Truck</t>
        </is>
      </c>
      <c r="AS71" s="213" t="inlineStr">
        <is>
          <t>Truck</t>
        </is>
      </c>
      <c r="AT71" s="213" t="inlineStr">
        <is>
          <t>Truck</t>
        </is>
      </c>
      <c r="AU71" s="213" t="inlineStr">
        <is>
          <t>Truck</t>
        </is>
      </c>
      <c r="AV71" s="213" t="inlineStr">
        <is>
          <t>Truck</t>
        </is>
      </c>
      <c r="AW71" s="213" t="inlineStr">
        <is>
          <t>Truck</t>
        </is>
      </c>
      <c r="AX71" s="213" t="inlineStr">
        <is>
          <t>Truck</t>
        </is>
      </c>
      <c r="AY71" s="213" t="inlineStr">
        <is>
          <t>Truck</t>
        </is>
      </c>
      <c r="AZ71" s="213" t="inlineStr">
        <is>
          <t>Truck</t>
        </is>
      </c>
      <c r="BA71" s="213" t="inlineStr">
        <is>
          <t>Truck</t>
        </is>
      </c>
      <c r="BB71" s="213" t="inlineStr">
        <is>
          <t>Truck</t>
        </is>
      </c>
      <c r="BC71" s="213" t="inlineStr">
        <is>
          <t>Truck</t>
        </is>
      </c>
      <c r="BD71" s="214" t="inlineStr">
        <is>
          <t>Truck</t>
        </is>
      </c>
      <c r="BE71" s="214" t="inlineStr">
        <is>
          <t>Truck</t>
        </is>
      </c>
      <c r="BF71" s="214" t="inlineStr">
        <is>
          <t>Truck</t>
        </is>
      </c>
      <c r="BG71" s="214" t="inlineStr">
        <is>
          <t>Truck</t>
        </is>
      </c>
      <c r="BH71" s="214" t="inlineStr">
        <is>
          <t>Truck</t>
        </is>
      </c>
      <c r="BI71" s="214" t="inlineStr">
        <is>
          <t>Truck</t>
        </is>
      </c>
      <c r="BJ71" s="214" t="inlineStr">
        <is>
          <t>Truck</t>
        </is>
      </c>
      <c r="BK71" s="214" t="inlineStr">
        <is>
          <t>Truck</t>
        </is>
      </c>
      <c r="BL71" s="214" t="inlineStr">
        <is>
          <t>Truck</t>
        </is>
      </c>
      <c r="BM71" s="214" t="inlineStr">
        <is>
          <t>Truck</t>
        </is>
      </c>
      <c r="BN71" s="214" t="inlineStr">
        <is>
          <t>Truck</t>
        </is>
      </c>
      <c r="BO71" s="214" t="inlineStr">
        <is>
          <t>Truck</t>
        </is>
      </c>
      <c r="BP71" s="214" t="inlineStr">
        <is>
          <t>Truck</t>
        </is>
      </c>
      <c r="BQ71" s="70" t="n"/>
      <c r="BR71" s="67" t="n"/>
    </row>
    <row r="72" ht="17" customHeight="1" s="165">
      <c r="A72" s="210" t="n"/>
      <c r="B72" s="152" t="inlineStr">
        <is>
          <t>Emission Factor (Auto)</t>
        </is>
      </c>
      <c r="C72" s="216">
        <f>VLOOKUP(C71,$Q$3:$R$6,2,0)</f>
        <v/>
      </c>
      <c r="D72" s="216">
        <f>VLOOKUP(D71,$Q$3:$R$6,2,0)</f>
        <v/>
      </c>
      <c r="E72" s="216">
        <f>VLOOKUP(E71,$Q$3:$R$6,2,0)</f>
        <v/>
      </c>
      <c r="F72" s="216">
        <f>VLOOKUP(F71,$Q$3:$R$6,2,0)</f>
        <v/>
      </c>
      <c r="G72" s="216">
        <f>VLOOKUP(G71,$Q$3:$R$6,2,0)</f>
        <v/>
      </c>
      <c r="H72" s="216">
        <f>VLOOKUP(H71,$Q$3:$R$6,2,0)</f>
        <v/>
      </c>
      <c r="I72" s="216">
        <f>VLOOKUP(I71,$Q$3:$R$6,2,0)</f>
        <v/>
      </c>
      <c r="J72" s="216">
        <f>VLOOKUP(J71,$Q$3:$R$6,2,0)</f>
        <v/>
      </c>
      <c r="K72" s="216">
        <f>VLOOKUP(K71,$Q$3:$R$6,2,0)</f>
        <v/>
      </c>
      <c r="L72" s="216">
        <f>VLOOKUP(L71,$Q$3:$R$6,2,0)</f>
        <v/>
      </c>
      <c r="M72" s="216">
        <f>VLOOKUP(M71,$Q$3:$R$6,2,0)</f>
        <v/>
      </c>
      <c r="N72" s="216">
        <f>VLOOKUP(N71,$Q$3:$R$6,2,0)</f>
        <v/>
      </c>
      <c r="O72" s="216">
        <f>VLOOKUP(O71,$Q$3:$R$6,2,0)</f>
        <v/>
      </c>
      <c r="P72" s="216">
        <f>VLOOKUP(P71,$Q$3:$R$6,2,0)</f>
        <v/>
      </c>
      <c r="Q72" s="216">
        <f>VLOOKUP(Q71,$Q$3:$R$6,2,0)</f>
        <v/>
      </c>
      <c r="R72" s="216">
        <f>VLOOKUP(R71,$Q$3:$R$6,2,0)</f>
        <v/>
      </c>
      <c r="S72" s="216">
        <f>VLOOKUP(S71,$Q$3:$R$6,2,0)</f>
        <v/>
      </c>
      <c r="T72" s="216">
        <f>VLOOKUP(T71,$Q$3:$R$6,2,0)</f>
        <v/>
      </c>
      <c r="U72" s="216">
        <f>VLOOKUP(U71,$Q$3:$R$6,2,0)</f>
        <v/>
      </c>
      <c r="V72" s="216">
        <f>VLOOKUP(V71,$Q$3:$R$6,2,0)</f>
        <v/>
      </c>
      <c r="W72" s="216">
        <f>VLOOKUP(W71,$Q$3:$R$6,2,0)</f>
        <v/>
      </c>
      <c r="X72" s="216">
        <f>VLOOKUP(X71,$Q$3:$R$6,2,0)</f>
        <v/>
      </c>
      <c r="Y72" s="216">
        <f>VLOOKUP(Y71,$Q$3:$R$6,2,0)</f>
        <v/>
      </c>
      <c r="Z72" s="216">
        <f>VLOOKUP(Z71,$Q$3:$R$6,2,0)</f>
        <v/>
      </c>
      <c r="AA72" s="216">
        <f>VLOOKUP(AA71,$Q$3:$R$6,2,0)</f>
        <v/>
      </c>
      <c r="AB72" s="216">
        <f>VLOOKUP(AB71,$Q$3:$R$6,2,0)</f>
        <v/>
      </c>
      <c r="AC72" s="216">
        <f>VLOOKUP(AC71,$Q$3:$R$6,2,0)</f>
        <v/>
      </c>
      <c r="AD72" s="216">
        <f>VLOOKUP(AD71,$Q$3:$R$6,2,0)</f>
        <v/>
      </c>
      <c r="AE72" s="216">
        <f>VLOOKUP(AE71,$Q$3:$R$6,2,0)</f>
        <v/>
      </c>
      <c r="AF72" s="216">
        <f>VLOOKUP(AF71,$Q$3:$R$6,2,0)</f>
        <v/>
      </c>
      <c r="AG72" s="216">
        <f>VLOOKUP(AG71,$Q$3:$R$6,2,0)</f>
        <v/>
      </c>
      <c r="AH72" s="216">
        <f>VLOOKUP(AH71,$Q$3:$R$6,2,0)</f>
        <v/>
      </c>
      <c r="AI72" s="216">
        <f>VLOOKUP(AI71,$Q$3:$R$6,2,0)</f>
        <v/>
      </c>
      <c r="AJ72" s="216">
        <f>VLOOKUP(AJ71,$Q$3:$R$6,2,0)</f>
        <v/>
      </c>
      <c r="AK72" s="216">
        <f>VLOOKUP(AK71,$Q$3:$R$6,2,0)</f>
        <v/>
      </c>
      <c r="AL72" s="216">
        <f>VLOOKUP(AL71,$Q$3:$R$6,2,0)</f>
        <v/>
      </c>
      <c r="AM72" s="216">
        <f>VLOOKUP(AM71,$Q$3:$R$6,2,0)</f>
        <v/>
      </c>
      <c r="AN72" s="216">
        <f>VLOOKUP(AN71,$Q$3:$R$6,2,0)</f>
        <v/>
      </c>
      <c r="AO72" s="216">
        <f>VLOOKUP(AO71,$Q$3:$R$6,2,0)</f>
        <v/>
      </c>
      <c r="AP72" s="216">
        <f>VLOOKUP(AP71,$Q$3:$R$6,2,0)</f>
        <v/>
      </c>
      <c r="AQ72" s="216">
        <f>VLOOKUP(AQ71,$Q$3:$R$6,2,0)</f>
        <v/>
      </c>
      <c r="AR72" s="216">
        <f>VLOOKUP(AR71,$Q$3:$R$6,2,0)</f>
        <v/>
      </c>
      <c r="AS72" s="216">
        <f>VLOOKUP(AS71,$Q$3:$R$6,2,0)</f>
        <v/>
      </c>
      <c r="AT72" s="216">
        <f>VLOOKUP(AT71,$Q$3:$R$6,2,0)</f>
        <v/>
      </c>
      <c r="AU72" s="216">
        <f>VLOOKUP(AU71,$Q$3:$R$6,2,0)</f>
        <v/>
      </c>
      <c r="AV72" s="216">
        <f>VLOOKUP(AV71,$Q$3:$R$6,2,0)</f>
        <v/>
      </c>
      <c r="AW72" s="216">
        <f>VLOOKUP(AW71,$Q$3:$R$6,2,0)</f>
        <v/>
      </c>
      <c r="AX72" s="216">
        <f>VLOOKUP(AX71,$Q$3:$R$6,2,0)</f>
        <v/>
      </c>
      <c r="AY72" s="216">
        <f>VLOOKUP(AY71,$Q$3:$R$6,2,0)</f>
        <v/>
      </c>
      <c r="AZ72" s="216">
        <f>VLOOKUP(AZ71,$Q$3:$R$6,2,0)</f>
        <v/>
      </c>
      <c r="BA72" s="216">
        <f>VLOOKUP(BA71,$Q$3:$R$6,2,0)</f>
        <v/>
      </c>
      <c r="BB72" s="216">
        <f>VLOOKUP(BB71,$Q$3:$R$6,2,0)</f>
        <v/>
      </c>
      <c r="BC72" s="216">
        <f>VLOOKUP(BC71,$Q$3:$R$6,2,0)</f>
        <v/>
      </c>
      <c r="BD72" s="217">
        <f>VLOOKUP(BD71,$Q$3:$R$6,2,0)</f>
        <v/>
      </c>
      <c r="BE72" s="217">
        <f>VLOOKUP(BE71,$Q$3:$R$6,2,0)</f>
        <v/>
      </c>
      <c r="BF72" s="217">
        <f>VLOOKUP(BF71,$Q$3:$R$6,2,0)</f>
        <v/>
      </c>
      <c r="BG72" s="217">
        <f>VLOOKUP(BG71,$Q$3:$R$6,2,0)</f>
        <v/>
      </c>
      <c r="BH72" s="217">
        <f>VLOOKUP(BH71,$Q$3:$R$6,2,0)</f>
        <v/>
      </c>
      <c r="BI72" s="217">
        <f>VLOOKUP(BI71,$Q$3:$R$6,2,0)</f>
        <v/>
      </c>
      <c r="BJ72" s="217">
        <f>VLOOKUP(BJ71,$Q$3:$R$6,2,0)</f>
        <v/>
      </c>
      <c r="BK72" s="217">
        <f>VLOOKUP(BK71,$Q$3:$R$6,2,0)</f>
        <v/>
      </c>
      <c r="BL72" s="217">
        <f>VLOOKUP(BL71,$Q$3:$R$6,2,0)</f>
        <v/>
      </c>
      <c r="BM72" s="217">
        <f>VLOOKUP(BM71,$Q$3:$R$6,2,0)</f>
        <v/>
      </c>
      <c r="BN72" s="217">
        <f>VLOOKUP(BN71,$Q$3:$R$6,2,0)</f>
        <v/>
      </c>
      <c r="BO72" s="217">
        <f>VLOOKUP(BO71,$Q$3:$R$6,2,0)</f>
        <v/>
      </c>
      <c r="BP72" s="217">
        <f>VLOOKUP(BP71,$Q$3:$R$6,2,0)</f>
        <v/>
      </c>
      <c r="BQ72" s="234" t="n"/>
      <c r="BR72" s="67" t="n"/>
    </row>
    <row r="73" ht="17" customHeight="1" s="165">
      <c r="A73" s="210" t="n"/>
      <c r="B73" s="57" t="inlineStr">
        <is>
          <t>Annual Travel Distance (km)</t>
        </is>
      </c>
      <c r="C73" s="235" t="n"/>
      <c r="D73" s="235" t="n"/>
      <c r="E73" s="235" t="n"/>
      <c r="F73" s="235" t="n"/>
      <c r="G73" s="235" t="n"/>
      <c r="H73" s="235" t="n"/>
      <c r="I73" s="235" t="n"/>
      <c r="J73" s="235" t="n"/>
      <c r="K73" s="235" t="n"/>
      <c r="L73" s="235" t="n"/>
      <c r="M73" s="235" t="n"/>
      <c r="N73" s="235" t="n"/>
      <c r="O73" s="235" t="n"/>
      <c r="P73" s="235" t="n"/>
      <c r="Q73" s="235" t="n">
        <v>27490</v>
      </c>
      <c r="R73" s="235" t="n"/>
      <c r="S73" s="235" t="n"/>
      <c r="T73" s="235" t="n"/>
      <c r="U73" s="235" t="n"/>
      <c r="V73" s="235" t="n"/>
      <c r="W73" s="235" t="n"/>
      <c r="X73" s="235" t="n"/>
      <c r="Y73" s="235" t="n"/>
      <c r="Z73" s="235" t="n"/>
      <c r="AA73" s="235" t="n"/>
      <c r="AB73" s="235" t="n"/>
      <c r="AC73" s="235" t="n"/>
      <c r="AD73" s="235" t="n"/>
      <c r="AE73" s="235" t="n"/>
      <c r="AF73" s="235" t="n"/>
      <c r="AG73" s="235" t="n"/>
      <c r="AH73" s="235" t="n"/>
      <c r="AI73" s="235" t="n"/>
      <c r="AJ73" s="235" t="n"/>
      <c r="AK73" s="235" t="n"/>
      <c r="AL73" s="235" t="n"/>
      <c r="AM73" s="235" t="n"/>
      <c r="AN73" s="235" t="n"/>
      <c r="AO73" s="235" t="n"/>
      <c r="AP73" s="235" t="n"/>
      <c r="AQ73" s="235" t="n"/>
      <c r="AR73" s="235" t="n"/>
      <c r="AS73" s="235" t="n"/>
      <c r="AT73" s="235" t="n"/>
      <c r="AU73" s="235" t="n"/>
      <c r="AV73" s="235" t="n"/>
      <c r="AW73" s="235" t="n"/>
      <c r="AX73" s="235" t="n"/>
      <c r="AY73" s="235" t="n"/>
      <c r="AZ73" s="235" t="n"/>
      <c r="BA73" s="235" t="n"/>
      <c r="BB73" s="235" t="n"/>
      <c r="BC73" s="235" t="n"/>
      <c r="BD73" s="236" t="n"/>
      <c r="BE73" s="236" t="n"/>
      <c r="BF73" s="236" t="n"/>
      <c r="BG73" s="236" t="n"/>
      <c r="BH73" s="236" t="n"/>
      <c r="BI73" s="236" t="n"/>
      <c r="BJ73" s="236" t="n"/>
      <c r="BK73" s="236" t="n">
        <v>241936</v>
      </c>
      <c r="BL73" s="236" t="n">
        <v>201390</v>
      </c>
      <c r="BM73" s="236" t="n"/>
      <c r="BN73" s="236" t="n">
        <v>9328</v>
      </c>
      <c r="BO73" s="236" t="n"/>
      <c r="BP73" s="236" t="n"/>
      <c r="BQ73" s="234" t="n"/>
      <c r="BR73" s="67" t="n"/>
    </row>
    <row r="74" ht="18.5" customHeight="1" s="165">
      <c r="A74" s="192" t="n"/>
      <c r="B74" s="77" t="inlineStr">
        <is>
          <t>Total Sold Weight (kg)</t>
        </is>
      </c>
      <c r="C74" s="78" t="n"/>
      <c r="D74" s="78" t="n"/>
      <c r="E74" s="78" t="n"/>
      <c r="F74" s="78" t="n"/>
      <c r="G74" s="78" t="n"/>
      <c r="H74" s="78" t="n"/>
      <c r="I74" s="78" t="n"/>
      <c r="J74" s="78" t="n"/>
      <c r="K74" s="78" t="n"/>
      <c r="L74" s="78" t="n"/>
      <c r="M74" s="78" t="n"/>
      <c r="N74" s="78" t="n"/>
      <c r="O74" s="78" t="n"/>
      <c r="P74" s="78" t="n"/>
      <c r="Q74" s="78" t="n">
        <v>138202.594</v>
      </c>
      <c r="R74" s="78" t="n"/>
      <c r="S74" s="78" t="n"/>
      <c r="T74" s="78" t="n"/>
      <c r="U74" s="78" t="n"/>
      <c r="V74" s="78" t="n"/>
      <c r="W74" s="78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8" t="n"/>
      <c r="AK74" s="78" t="n"/>
      <c r="AL74" s="78" t="n"/>
      <c r="AM74" s="78" t="n"/>
      <c r="AN74" s="78" t="n"/>
      <c r="AO74" s="78" t="n"/>
      <c r="AP74" s="78" t="n"/>
      <c r="AQ74" s="78" t="n"/>
      <c r="AR74" s="78" t="n"/>
      <c r="AS74" s="78" t="n"/>
      <c r="AT74" s="78" t="n"/>
      <c r="AU74" s="78" t="n"/>
      <c r="AV74" s="78" t="n"/>
      <c r="AW74" s="78" t="n"/>
      <c r="AX74" s="78" t="n"/>
      <c r="AY74" s="78" t="n"/>
      <c r="AZ74" s="78" t="n"/>
      <c r="BA74" s="78" t="n"/>
      <c r="BB74" s="78" t="n"/>
      <c r="BC74" s="78" t="n"/>
      <c r="BD74" s="79" t="n"/>
      <c r="BE74" s="79" t="n"/>
      <c r="BF74" s="79" t="n"/>
      <c r="BG74" s="79" t="n"/>
      <c r="BH74" s="79" t="n"/>
      <c r="BI74" s="79" t="n"/>
      <c r="BJ74" s="79" t="n"/>
      <c r="BK74" s="79" t="n">
        <v>5289408.128</v>
      </c>
      <c r="BL74" s="79" t="n">
        <v>4894527.808</v>
      </c>
      <c r="BM74" s="79" t="n"/>
      <c r="BN74" s="79" t="n">
        <v>5130543.37</v>
      </c>
      <c r="BO74" s="79" t="n"/>
      <c r="BP74" s="79" t="n"/>
      <c r="BQ74" s="198">
        <f t="array" ref="BQ74">SUMPRODUCT(C72:BP72,C73:BP73,C74:BP74/1000)</f>
        <v/>
      </c>
      <c r="BR74" s="199">
        <f>BQ74/1000</f>
        <v/>
      </c>
    </row>
    <row r="75" ht="18.5" customHeight="1" s="165">
      <c r="A75" s="152" t="inlineStr">
        <is>
          <t>Lipovice</t>
        </is>
      </c>
      <c r="B75" s="56" t="inlineStr">
        <is>
          <t>Transport Mode</t>
        </is>
      </c>
      <c r="C75" s="213" t="inlineStr">
        <is>
          <t>Rail</t>
        </is>
      </c>
      <c r="D75" s="213" t="inlineStr">
        <is>
          <t>Truck</t>
        </is>
      </c>
      <c r="E75" s="213" t="inlineStr">
        <is>
          <t>Truck</t>
        </is>
      </c>
      <c r="F75" s="213" t="inlineStr">
        <is>
          <t>Air</t>
        </is>
      </c>
      <c r="G75" s="213" t="inlineStr">
        <is>
          <t>Truck</t>
        </is>
      </c>
      <c r="H75" s="213" t="inlineStr">
        <is>
          <t>Truck</t>
        </is>
      </c>
      <c r="I75" s="213" t="inlineStr">
        <is>
          <t>Truck</t>
        </is>
      </c>
      <c r="J75" s="213" t="inlineStr">
        <is>
          <t>Truck</t>
        </is>
      </c>
      <c r="K75" s="213" t="inlineStr">
        <is>
          <t>Truck</t>
        </is>
      </c>
      <c r="L75" s="213" t="inlineStr">
        <is>
          <t>Ocean Vessel</t>
        </is>
      </c>
      <c r="M75" s="213" t="inlineStr">
        <is>
          <t>Truck</t>
        </is>
      </c>
      <c r="N75" s="213" t="inlineStr">
        <is>
          <t>Truck</t>
        </is>
      </c>
      <c r="O75" s="213" t="inlineStr">
        <is>
          <t>Truck</t>
        </is>
      </c>
      <c r="P75" s="213" t="inlineStr">
        <is>
          <t>Truck</t>
        </is>
      </c>
      <c r="Q75" s="213" t="inlineStr">
        <is>
          <t>Truck</t>
        </is>
      </c>
      <c r="R75" s="213" t="inlineStr">
        <is>
          <t>Truck</t>
        </is>
      </c>
      <c r="S75" s="213" t="inlineStr">
        <is>
          <t>Truck</t>
        </is>
      </c>
      <c r="T75" s="213" t="inlineStr">
        <is>
          <t>Truck</t>
        </is>
      </c>
      <c r="U75" s="213" t="inlineStr">
        <is>
          <t>Truck</t>
        </is>
      </c>
      <c r="V75" s="213" t="inlineStr">
        <is>
          <t>Truck</t>
        </is>
      </c>
      <c r="W75" s="213" t="inlineStr">
        <is>
          <t>Truck</t>
        </is>
      </c>
      <c r="X75" s="213" t="inlineStr">
        <is>
          <t>Truck</t>
        </is>
      </c>
      <c r="Y75" s="213" t="inlineStr">
        <is>
          <t>Truck</t>
        </is>
      </c>
      <c r="Z75" s="213" t="inlineStr">
        <is>
          <t>Truck</t>
        </is>
      </c>
      <c r="AA75" s="213" t="inlineStr">
        <is>
          <t>Truck</t>
        </is>
      </c>
      <c r="AB75" s="213" t="inlineStr">
        <is>
          <t>Truck</t>
        </is>
      </c>
      <c r="AC75" s="213" t="inlineStr">
        <is>
          <t>Truck</t>
        </is>
      </c>
      <c r="AD75" s="213" t="inlineStr">
        <is>
          <t>Truck</t>
        </is>
      </c>
      <c r="AE75" s="213" t="inlineStr">
        <is>
          <t>Truck</t>
        </is>
      </c>
      <c r="AF75" s="213" t="inlineStr">
        <is>
          <t>Truck</t>
        </is>
      </c>
      <c r="AG75" s="213" t="inlineStr">
        <is>
          <t>Truck</t>
        </is>
      </c>
      <c r="AH75" s="213" t="inlineStr">
        <is>
          <t>Truck</t>
        </is>
      </c>
      <c r="AI75" s="213" t="inlineStr">
        <is>
          <t>Truck</t>
        </is>
      </c>
      <c r="AJ75" s="213" t="inlineStr">
        <is>
          <t>Truck</t>
        </is>
      </c>
      <c r="AK75" s="213" t="inlineStr">
        <is>
          <t>Truck</t>
        </is>
      </c>
      <c r="AL75" s="213" t="inlineStr">
        <is>
          <t>Truck</t>
        </is>
      </c>
      <c r="AM75" s="213" t="inlineStr">
        <is>
          <t>Truck</t>
        </is>
      </c>
      <c r="AN75" s="213" t="inlineStr">
        <is>
          <t>Truck</t>
        </is>
      </c>
      <c r="AO75" s="213" t="inlineStr">
        <is>
          <t>Truck</t>
        </is>
      </c>
      <c r="AP75" s="213" t="inlineStr">
        <is>
          <t>Truck</t>
        </is>
      </c>
      <c r="AQ75" s="213" t="inlineStr">
        <is>
          <t>Truck</t>
        </is>
      </c>
      <c r="AR75" s="213" t="inlineStr">
        <is>
          <t>Truck</t>
        </is>
      </c>
      <c r="AS75" s="213" t="inlineStr">
        <is>
          <t>Truck</t>
        </is>
      </c>
      <c r="AT75" s="213" t="inlineStr">
        <is>
          <t>Truck</t>
        </is>
      </c>
      <c r="AU75" s="213" t="inlineStr">
        <is>
          <t>Truck</t>
        </is>
      </c>
      <c r="AV75" s="213" t="inlineStr">
        <is>
          <t>Truck</t>
        </is>
      </c>
      <c r="AW75" s="213" t="inlineStr">
        <is>
          <t>Truck</t>
        </is>
      </c>
      <c r="AX75" s="213" t="inlineStr">
        <is>
          <t>Truck</t>
        </is>
      </c>
      <c r="AY75" s="213" t="inlineStr">
        <is>
          <t>Truck</t>
        </is>
      </c>
      <c r="AZ75" s="213" t="inlineStr">
        <is>
          <t>Truck</t>
        </is>
      </c>
      <c r="BA75" s="213" t="inlineStr">
        <is>
          <t>Truck</t>
        </is>
      </c>
      <c r="BB75" s="213" t="inlineStr">
        <is>
          <t>Truck</t>
        </is>
      </c>
      <c r="BC75" s="213" t="inlineStr">
        <is>
          <t>Truck</t>
        </is>
      </c>
      <c r="BD75" s="214" t="inlineStr">
        <is>
          <t>Truck</t>
        </is>
      </c>
      <c r="BE75" s="214" t="inlineStr">
        <is>
          <t>Truck</t>
        </is>
      </c>
      <c r="BF75" s="214" t="inlineStr">
        <is>
          <t>Truck</t>
        </is>
      </c>
      <c r="BG75" s="214" t="inlineStr">
        <is>
          <t>Truck</t>
        </is>
      </c>
      <c r="BH75" s="214" t="inlineStr">
        <is>
          <t>Truck</t>
        </is>
      </c>
      <c r="BI75" s="214" t="inlineStr">
        <is>
          <t>Truck</t>
        </is>
      </c>
      <c r="BJ75" s="214" t="inlineStr">
        <is>
          <t>Truck</t>
        </is>
      </c>
      <c r="BK75" s="214" t="inlineStr">
        <is>
          <t>Truck</t>
        </is>
      </c>
      <c r="BL75" s="214" t="inlineStr">
        <is>
          <t>Truck</t>
        </is>
      </c>
      <c r="BM75" s="214" t="inlineStr">
        <is>
          <t>Truck</t>
        </is>
      </c>
      <c r="BN75" s="214" t="inlineStr">
        <is>
          <t>Truck</t>
        </is>
      </c>
      <c r="BO75" s="214" t="inlineStr">
        <is>
          <t>Truck</t>
        </is>
      </c>
      <c r="BP75" s="214" t="inlineStr">
        <is>
          <t>Truck</t>
        </is>
      </c>
      <c r="BQ75" s="70" t="n"/>
      <c r="BR75" s="67" t="n"/>
    </row>
    <row r="76" ht="17" customHeight="1" s="165">
      <c r="A76" s="210" t="n"/>
      <c r="B76" s="152" t="inlineStr">
        <is>
          <t>Emission Factor (Auto)</t>
        </is>
      </c>
      <c r="C76" s="216">
        <f>VLOOKUP(C75,$Q$3:$R$6,2,0)</f>
        <v/>
      </c>
      <c r="D76" s="216">
        <f>VLOOKUP(D75,$Q$3:$R$6,2,0)</f>
        <v/>
      </c>
      <c r="E76" s="216">
        <f>VLOOKUP(E75,$Q$3:$R$6,2,0)</f>
        <v/>
      </c>
      <c r="F76" s="216">
        <f>VLOOKUP(F75,$Q$3:$R$6,2,0)</f>
        <v/>
      </c>
      <c r="G76" s="216">
        <f>VLOOKUP(G75,$Q$3:$R$6,2,0)</f>
        <v/>
      </c>
      <c r="H76" s="216">
        <f>VLOOKUP(H75,$Q$3:$R$6,2,0)</f>
        <v/>
      </c>
      <c r="I76" s="216">
        <f>VLOOKUP(I75,$Q$3:$R$6,2,0)</f>
        <v/>
      </c>
      <c r="J76" s="216">
        <f>VLOOKUP(J75,$Q$3:$R$6,2,0)</f>
        <v/>
      </c>
      <c r="K76" s="216">
        <f>VLOOKUP(K75,$Q$3:$R$6,2,0)</f>
        <v/>
      </c>
      <c r="L76" s="216">
        <f>VLOOKUP(L75,$Q$3:$R$6,2,0)</f>
        <v/>
      </c>
      <c r="M76" s="216">
        <f>VLOOKUP(M75,$Q$3:$R$6,2,0)</f>
        <v/>
      </c>
      <c r="N76" s="216">
        <f>VLOOKUP(N75,$Q$3:$R$6,2,0)</f>
        <v/>
      </c>
      <c r="O76" s="216">
        <f>VLOOKUP(O75,$Q$3:$R$6,2,0)</f>
        <v/>
      </c>
      <c r="P76" s="216">
        <f>VLOOKUP(P75,$Q$3:$R$6,2,0)</f>
        <v/>
      </c>
      <c r="Q76" s="216">
        <f>VLOOKUP(Q75,$Q$3:$R$6,2,0)</f>
        <v/>
      </c>
      <c r="R76" s="216">
        <f>VLOOKUP(R75,$Q$3:$R$6,2,0)</f>
        <v/>
      </c>
      <c r="S76" s="216">
        <f>VLOOKUP(S75,$Q$3:$R$6,2,0)</f>
        <v/>
      </c>
      <c r="T76" s="216">
        <f>VLOOKUP(T75,$Q$3:$R$6,2,0)</f>
        <v/>
      </c>
      <c r="U76" s="216">
        <f>VLOOKUP(U75,$Q$3:$R$6,2,0)</f>
        <v/>
      </c>
      <c r="V76" s="216">
        <f>VLOOKUP(V75,$Q$3:$R$6,2,0)</f>
        <v/>
      </c>
      <c r="W76" s="216">
        <f>VLOOKUP(W75,$Q$3:$R$6,2,0)</f>
        <v/>
      </c>
      <c r="X76" s="216">
        <f>VLOOKUP(X75,$Q$3:$R$6,2,0)</f>
        <v/>
      </c>
      <c r="Y76" s="216">
        <f>VLOOKUP(Y75,$Q$3:$R$6,2,0)</f>
        <v/>
      </c>
      <c r="Z76" s="216">
        <f>VLOOKUP(Z75,$Q$3:$R$6,2,0)</f>
        <v/>
      </c>
      <c r="AA76" s="216">
        <f>VLOOKUP(AA75,$Q$3:$R$6,2,0)</f>
        <v/>
      </c>
      <c r="AB76" s="216">
        <f>VLOOKUP(AB75,$Q$3:$R$6,2,0)</f>
        <v/>
      </c>
      <c r="AC76" s="216">
        <f>VLOOKUP(AC75,$Q$3:$R$6,2,0)</f>
        <v/>
      </c>
      <c r="AD76" s="216">
        <f>VLOOKUP(AD75,$Q$3:$R$6,2,0)</f>
        <v/>
      </c>
      <c r="AE76" s="216">
        <f>VLOOKUP(AE75,$Q$3:$R$6,2,0)</f>
        <v/>
      </c>
      <c r="AF76" s="216">
        <f>VLOOKUP(AF75,$Q$3:$R$6,2,0)</f>
        <v/>
      </c>
      <c r="AG76" s="216">
        <f>VLOOKUP(AG75,$Q$3:$R$6,2,0)</f>
        <v/>
      </c>
      <c r="AH76" s="216">
        <f>VLOOKUP(AH75,$Q$3:$R$6,2,0)</f>
        <v/>
      </c>
      <c r="AI76" s="216">
        <f>VLOOKUP(AI75,$Q$3:$R$6,2,0)</f>
        <v/>
      </c>
      <c r="AJ76" s="216">
        <f>VLOOKUP(AJ75,$Q$3:$R$6,2,0)</f>
        <v/>
      </c>
      <c r="AK76" s="216">
        <f>VLOOKUP(AK75,$Q$3:$R$6,2,0)</f>
        <v/>
      </c>
      <c r="AL76" s="216">
        <f>VLOOKUP(AL75,$Q$3:$R$6,2,0)</f>
        <v/>
      </c>
      <c r="AM76" s="216">
        <f>VLOOKUP(AM75,$Q$3:$R$6,2,0)</f>
        <v/>
      </c>
      <c r="AN76" s="216">
        <f>VLOOKUP(AN75,$Q$3:$R$6,2,0)</f>
        <v/>
      </c>
      <c r="AO76" s="216">
        <f>VLOOKUP(AO75,$Q$3:$R$6,2,0)</f>
        <v/>
      </c>
      <c r="AP76" s="216">
        <f>VLOOKUP(AP75,$Q$3:$R$6,2,0)</f>
        <v/>
      </c>
      <c r="AQ76" s="216">
        <f>VLOOKUP(AQ75,$Q$3:$R$6,2,0)</f>
        <v/>
      </c>
      <c r="AR76" s="216">
        <f>VLOOKUP(AR75,$Q$3:$R$6,2,0)</f>
        <v/>
      </c>
      <c r="AS76" s="216">
        <f>VLOOKUP(AS75,$Q$3:$R$6,2,0)</f>
        <v/>
      </c>
      <c r="AT76" s="216">
        <f>VLOOKUP(AT75,$Q$3:$R$6,2,0)</f>
        <v/>
      </c>
      <c r="AU76" s="216">
        <f>VLOOKUP(AU75,$Q$3:$R$6,2,0)</f>
        <v/>
      </c>
      <c r="AV76" s="216">
        <f>VLOOKUP(AV75,$Q$3:$R$6,2,0)</f>
        <v/>
      </c>
      <c r="AW76" s="216">
        <f>VLOOKUP(AW75,$Q$3:$R$6,2,0)</f>
        <v/>
      </c>
      <c r="AX76" s="216">
        <f>VLOOKUP(AX75,$Q$3:$R$6,2,0)</f>
        <v/>
      </c>
      <c r="AY76" s="216">
        <f>VLOOKUP(AY75,$Q$3:$R$6,2,0)</f>
        <v/>
      </c>
      <c r="AZ76" s="216">
        <f>VLOOKUP(AZ75,$Q$3:$R$6,2,0)</f>
        <v/>
      </c>
      <c r="BA76" s="216">
        <f>VLOOKUP(BA75,$Q$3:$R$6,2,0)</f>
        <v/>
      </c>
      <c r="BB76" s="216">
        <f>VLOOKUP(BB75,$Q$3:$R$6,2,0)</f>
        <v/>
      </c>
      <c r="BC76" s="216">
        <f>VLOOKUP(BC75,$Q$3:$R$6,2,0)</f>
        <v/>
      </c>
      <c r="BD76" s="217">
        <f>VLOOKUP(BD75,$Q$3:$R$6,2,0)</f>
        <v/>
      </c>
      <c r="BE76" s="217">
        <f>VLOOKUP(BE75,$Q$3:$R$6,2,0)</f>
        <v/>
      </c>
      <c r="BF76" s="217">
        <f>VLOOKUP(BF75,$Q$3:$R$6,2,0)</f>
        <v/>
      </c>
      <c r="BG76" s="217">
        <f>VLOOKUP(BG75,$Q$3:$R$6,2,0)</f>
        <v/>
      </c>
      <c r="BH76" s="217">
        <f>VLOOKUP(BH75,$Q$3:$R$6,2,0)</f>
        <v/>
      </c>
      <c r="BI76" s="217">
        <f>VLOOKUP(BI75,$Q$3:$R$6,2,0)</f>
        <v/>
      </c>
      <c r="BJ76" s="217">
        <f>VLOOKUP(BJ75,$Q$3:$R$6,2,0)</f>
        <v/>
      </c>
      <c r="BK76" s="217">
        <f>VLOOKUP(BK75,$Q$3:$R$6,2,0)</f>
        <v/>
      </c>
      <c r="BL76" s="217">
        <f>VLOOKUP(BL75,$Q$3:$R$6,2,0)</f>
        <v/>
      </c>
      <c r="BM76" s="217">
        <f>VLOOKUP(BM75,$Q$3:$R$6,2,0)</f>
        <v/>
      </c>
      <c r="BN76" s="217">
        <f>VLOOKUP(BN75,$Q$3:$R$6,2,0)</f>
        <v/>
      </c>
      <c r="BO76" s="217">
        <f>VLOOKUP(BO75,$Q$3:$R$6,2,0)</f>
        <v/>
      </c>
      <c r="BP76" s="217">
        <f>VLOOKUP(BP75,$Q$3:$R$6,2,0)</f>
        <v/>
      </c>
      <c r="BQ76" s="234" t="n"/>
      <c r="BR76" s="67" t="n"/>
    </row>
    <row r="77" ht="17" customHeight="1" s="165">
      <c r="A77" s="210" t="n"/>
      <c r="B77" s="57" t="inlineStr">
        <is>
          <t>Annual Travel Distance (km)</t>
        </is>
      </c>
      <c r="C77" s="235" t="n"/>
      <c r="D77" s="235" t="n"/>
      <c r="E77" s="235" t="n"/>
      <c r="F77" s="235" t="n"/>
      <c r="G77" s="235" t="n"/>
      <c r="H77" s="235" t="n"/>
      <c r="I77" s="235" t="n"/>
      <c r="J77" s="235" t="n"/>
      <c r="K77" s="235" t="n"/>
      <c r="L77" s="235" t="n"/>
      <c r="M77" s="235" t="n"/>
      <c r="N77" s="235" t="n"/>
      <c r="O77" s="235" t="n"/>
      <c r="P77" s="235" t="n"/>
      <c r="Q77" s="235" t="n"/>
      <c r="R77" s="235" t="n"/>
      <c r="S77" s="235" t="n"/>
      <c r="T77" s="235" t="n"/>
      <c r="U77" s="235" t="n"/>
      <c r="V77" s="235" t="n"/>
      <c r="W77" s="235" t="n"/>
      <c r="X77" s="235" t="n"/>
      <c r="Y77" s="235" t="n"/>
      <c r="Z77" s="235" t="n"/>
      <c r="AA77" s="235" t="n"/>
      <c r="AB77" s="235" t="n"/>
      <c r="AC77" s="235" t="n"/>
      <c r="AD77" s="235" t="n"/>
      <c r="AE77" s="235" t="n"/>
      <c r="AF77" s="235" t="n"/>
      <c r="AG77" s="235" t="n"/>
      <c r="AH77" s="235" t="n"/>
      <c r="AI77" s="235" t="n"/>
      <c r="AJ77" s="235" t="n"/>
      <c r="AK77" s="235" t="n"/>
      <c r="AL77" s="235" t="n"/>
      <c r="AM77" s="235" t="n"/>
      <c r="AN77" s="235" t="n"/>
      <c r="AO77" s="235" t="n"/>
      <c r="AP77" s="235" t="n"/>
      <c r="AQ77" s="235" t="n"/>
      <c r="AR77" s="235" t="n"/>
      <c r="AS77" s="235" t="n"/>
      <c r="AT77" s="235" t="n"/>
      <c r="AU77" s="235" t="n"/>
      <c r="AV77" s="235" t="n"/>
      <c r="AW77" s="235" t="n"/>
      <c r="AX77" s="235" t="n"/>
      <c r="AY77" s="235" t="n"/>
      <c r="AZ77" s="235" t="n"/>
      <c r="BA77" s="235" t="n"/>
      <c r="BB77" s="235" t="n"/>
      <c r="BC77" s="235" t="n"/>
      <c r="BD77" s="236" t="n"/>
      <c r="BE77" s="236" t="n"/>
      <c r="BF77" s="236" t="n"/>
      <c r="BG77" s="236" t="n"/>
      <c r="BH77" s="236" t="n"/>
      <c r="BI77" s="236" t="n"/>
      <c r="BJ77" s="236" t="n"/>
      <c r="BK77" s="236" t="n">
        <v>106785</v>
      </c>
      <c r="BL77" s="236" t="n">
        <v>109044</v>
      </c>
      <c r="BM77" s="236" t="n">
        <v>56516</v>
      </c>
      <c r="BN77" s="236" t="n"/>
      <c r="BO77" s="236" t="n"/>
      <c r="BP77" s="236" t="n"/>
      <c r="BQ77" s="234" t="n"/>
      <c r="BR77" s="67" t="n"/>
    </row>
    <row r="78" ht="18.5" customHeight="1" s="165">
      <c r="A78" s="192" t="n"/>
      <c r="B78" s="77" t="inlineStr">
        <is>
          <t>Total Sold Weight (kg)</t>
        </is>
      </c>
      <c r="C78" s="78" t="n"/>
      <c r="D78" s="78" t="n"/>
      <c r="E78" s="78" t="n"/>
      <c r="F78" s="78" t="n"/>
      <c r="G78" s="78" t="n"/>
      <c r="H78" s="78" t="n"/>
      <c r="I78" s="78" t="n"/>
      <c r="J78" s="78" t="n"/>
      <c r="K78" s="78" t="n"/>
      <c r="L78" s="78" t="n"/>
      <c r="M78" s="78" t="n"/>
      <c r="N78" s="78" t="n"/>
      <c r="O78" s="78" t="n"/>
      <c r="P78" s="78" t="n"/>
      <c r="Q78" s="78" t="n"/>
      <c r="R78" s="78" t="n"/>
      <c r="S78" s="78" t="n"/>
      <c r="T78" s="78" t="n"/>
      <c r="U78" s="78" t="n"/>
      <c r="V78" s="78" t="n"/>
      <c r="W78" s="78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8" t="n"/>
      <c r="AK78" s="78" t="n"/>
      <c r="AL78" s="78" t="n"/>
      <c r="AM78" s="78" t="n"/>
      <c r="AN78" s="78" t="n"/>
      <c r="AO78" s="78" t="n"/>
      <c r="AP78" s="78" t="n"/>
      <c r="AQ78" s="78" t="n"/>
      <c r="AR78" s="78" t="n"/>
      <c r="AS78" s="78" t="n"/>
      <c r="AT78" s="78" t="n"/>
      <c r="AU78" s="78" t="n"/>
      <c r="AV78" s="78" t="n"/>
      <c r="AW78" s="78" t="n"/>
      <c r="AX78" s="78" t="n"/>
      <c r="AY78" s="78" t="n"/>
      <c r="AZ78" s="78" t="n"/>
      <c r="BA78" s="78" t="n"/>
      <c r="BB78" s="78" t="n"/>
      <c r="BC78" s="78" t="n"/>
      <c r="BD78" s="79" t="n"/>
      <c r="BE78" s="79" t="n"/>
      <c r="BF78" s="79" t="n"/>
      <c r="BG78" s="79" t="n"/>
      <c r="BH78" s="79" t="n"/>
      <c r="BI78" s="79" t="n"/>
      <c r="BJ78" s="79" t="n"/>
      <c r="BK78" s="79" t="n">
        <v>1038988.073</v>
      </c>
      <c r="BL78" s="79" t="n">
        <v>1568756.69378</v>
      </c>
      <c r="BM78" s="79" t="n">
        <v>116842.904</v>
      </c>
      <c r="BN78" s="79" t="n"/>
      <c r="BO78" s="79" t="n"/>
      <c r="BP78" s="79" t="n"/>
      <c r="BQ78" s="198">
        <f t="array" ref="BQ78">SUMPRODUCT(C76:BP76,C77:BP77,C78:BP78/1000)</f>
        <v/>
      </c>
      <c r="BR78" s="199">
        <f>BQ78/1000</f>
        <v/>
      </c>
    </row>
    <row r="79" ht="18.5" customHeight="1" s="165">
      <c r="A79" s="152" t="inlineStr">
        <is>
          <t>Mikulov</t>
        </is>
      </c>
      <c r="B79" s="56" t="inlineStr">
        <is>
          <t>Transport Mode</t>
        </is>
      </c>
      <c r="C79" s="213" t="inlineStr">
        <is>
          <t>Rail</t>
        </is>
      </c>
      <c r="D79" s="213" t="inlineStr">
        <is>
          <t>Truck</t>
        </is>
      </c>
      <c r="E79" s="213" t="inlineStr">
        <is>
          <t>Truck</t>
        </is>
      </c>
      <c r="F79" s="213" t="inlineStr">
        <is>
          <t>Air</t>
        </is>
      </c>
      <c r="G79" s="213" t="inlineStr">
        <is>
          <t>Truck</t>
        </is>
      </c>
      <c r="H79" s="213" t="inlineStr">
        <is>
          <t>Truck</t>
        </is>
      </c>
      <c r="I79" s="213" t="inlineStr">
        <is>
          <t>Truck</t>
        </is>
      </c>
      <c r="J79" s="213" t="inlineStr">
        <is>
          <t>Truck</t>
        </is>
      </c>
      <c r="K79" s="213" t="inlineStr">
        <is>
          <t>Truck</t>
        </is>
      </c>
      <c r="L79" s="213" t="inlineStr">
        <is>
          <t>Ocean Vessel</t>
        </is>
      </c>
      <c r="M79" s="213" t="inlineStr">
        <is>
          <t>Truck</t>
        </is>
      </c>
      <c r="N79" s="213" t="inlineStr">
        <is>
          <t>Truck</t>
        </is>
      </c>
      <c r="O79" s="213" t="inlineStr">
        <is>
          <t>Truck</t>
        </is>
      </c>
      <c r="P79" s="213" t="inlineStr">
        <is>
          <t>Truck</t>
        </is>
      </c>
      <c r="Q79" s="213" t="inlineStr">
        <is>
          <t>Truck</t>
        </is>
      </c>
      <c r="R79" s="213" t="inlineStr">
        <is>
          <t>Truck</t>
        </is>
      </c>
      <c r="S79" s="213" t="inlineStr">
        <is>
          <t>Truck</t>
        </is>
      </c>
      <c r="T79" s="213" t="inlineStr">
        <is>
          <t>Truck</t>
        </is>
      </c>
      <c r="U79" s="213" t="inlineStr">
        <is>
          <t>Truck</t>
        </is>
      </c>
      <c r="V79" s="213" t="inlineStr">
        <is>
          <t>Truck</t>
        </is>
      </c>
      <c r="W79" s="213" t="inlineStr">
        <is>
          <t>Truck</t>
        </is>
      </c>
      <c r="X79" s="213" t="inlineStr">
        <is>
          <t>Truck</t>
        </is>
      </c>
      <c r="Y79" s="213" t="inlineStr">
        <is>
          <t>Truck</t>
        </is>
      </c>
      <c r="Z79" s="213" t="inlineStr">
        <is>
          <t>Truck</t>
        </is>
      </c>
      <c r="AA79" s="213" t="inlineStr">
        <is>
          <t>Truck</t>
        </is>
      </c>
      <c r="AB79" s="213" t="inlineStr">
        <is>
          <t>Truck</t>
        </is>
      </c>
      <c r="AC79" s="213" t="inlineStr">
        <is>
          <t>Truck</t>
        </is>
      </c>
      <c r="AD79" s="213" t="inlineStr">
        <is>
          <t>Truck</t>
        </is>
      </c>
      <c r="AE79" s="213" t="inlineStr">
        <is>
          <t>Truck</t>
        </is>
      </c>
      <c r="AF79" s="213" t="inlineStr">
        <is>
          <t>Truck</t>
        </is>
      </c>
      <c r="AG79" s="213" t="inlineStr">
        <is>
          <t>Truck</t>
        </is>
      </c>
      <c r="AH79" s="213" t="inlineStr">
        <is>
          <t>Truck</t>
        </is>
      </c>
      <c r="AI79" s="213" t="inlineStr">
        <is>
          <t>Truck</t>
        </is>
      </c>
      <c r="AJ79" s="213" t="inlineStr">
        <is>
          <t>Truck</t>
        </is>
      </c>
      <c r="AK79" s="213" t="inlineStr">
        <is>
          <t>Truck</t>
        </is>
      </c>
      <c r="AL79" s="213" t="inlineStr">
        <is>
          <t>Truck</t>
        </is>
      </c>
      <c r="AM79" s="213" t="inlineStr">
        <is>
          <t>Truck</t>
        </is>
      </c>
      <c r="AN79" s="213" t="inlineStr">
        <is>
          <t>Truck</t>
        </is>
      </c>
      <c r="AO79" s="213" t="inlineStr">
        <is>
          <t>Truck</t>
        </is>
      </c>
      <c r="AP79" s="213" t="inlineStr">
        <is>
          <t>Truck</t>
        </is>
      </c>
      <c r="AQ79" s="213" t="inlineStr">
        <is>
          <t>Truck</t>
        </is>
      </c>
      <c r="AR79" s="213" t="inlineStr">
        <is>
          <t>Truck</t>
        </is>
      </c>
      <c r="AS79" s="213" t="inlineStr">
        <is>
          <t>Truck</t>
        </is>
      </c>
      <c r="AT79" s="213" t="inlineStr">
        <is>
          <t>Truck</t>
        </is>
      </c>
      <c r="AU79" s="213" t="inlineStr">
        <is>
          <t>Truck</t>
        </is>
      </c>
      <c r="AV79" s="213" t="inlineStr">
        <is>
          <t>Truck</t>
        </is>
      </c>
      <c r="AW79" s="213" t="inlineStr">
        <is>
          <t>Truck</t>
        </is>
      </c>
      <c r="AX79" s="213" t="inlineStr">
        <is>
          <t>Truck</t>
        </is>
      </c>
      <c r="AY79" s="213" t="inlineStr">
        <is>
          <t>Truck</t>
        </is>
      </c>
      <c r="AZ79" s="213" t="inlineStr">
        <is>
          <t>Truck</t>
        </is>
      </c>
      <c r="BA79" s="213" t="inlineStr">
        <is>
          <t>Truck</t>
        </is>
      </c>
      <c r="BB79" s="213" t="inlineStr">
        <is>
          <t>Truck</t>
        </is>
      </c>
      <c r="BC79" s="213" t="inlineStr">
        <is>
          <t>Truck</t>
        </is>
      </c>
      <c r="BD79" s="214" t="inlineStr">
        <is>
          <t>Truck</t>
        </is>
      </c>
      <c r="BE79" s="214" t="inlineStr">
        <is>
          <t>Truck</t>
        </is>
      </c>
      <c r="BF79" s="214" t="inlineStr">
        <is>
          <t>Truck</t>
        </is>
      </c>
      <c r="BG79" s="214" t="inlineStr">
        <is>
          <t>Truck</t>
        </is>
      </c>
      <c r="BH79" s="214" t="inlineStr">
        <is>
          <t>Truck</t>
        </is>
      </c>
      <c r="BI79" s="214" t="inlineStr">
        <is>
          <t>Truck</t>
        </is>
      </c>
      <c r="BJ79" s="214" t="inlineStr">
        <is>
          <t>Truck</t>
        </is>
      </c>
      <c r="BK79" s="214" t="inlineStr">
        <is>
          <t>Truck</t>
        </is>
      </c>
      <c r="BL79" s="214" t="inlineStr">
        <is>
          <t>Truck</t>
        </is>
      </c>
      <c r="BM79" s="214" t="inlineStr">
        <is>
          <t>Truck</t>
        </is>
      </c>
      <c r="BN79" s="214" t="inlineStr">
        <is>
          <t>Truck</t>
        </is>
      </c>
      <c r="BO79" s="214" t="inlineStr">
        <is>
          <t>Truck</t>
        </is>
      </c>
      <c r="BP79" s="214" t="inlineStr">
        <is>
          <t>Truck</t>
        </is>
      </c>
      <c r="BQ79" s="70" t="n"/>
      <c r="BR79" s="67" t="n"/>
    </row>
    <row r="80" ht="17" customHeight="1" s="165">
      <c r="A80" s="210" t="n"/>
      <c r="B80" s="152" t="inlineStr">
        <is>
          <t>Emission Factor (Auto)</t>
        </is>
      </c>
      <c r="C80" s="216">
        <f>VLOOKUP(C79,$Q$3:$R$6,2,0)</f>
        <v/>
      </c>
      <c r="D80" s="216">
        <f>VLOOKUP(D79,$Q$3:$R$6,2,0)</f>
        <v/>
      </c>
      <c r="E80" s="216">
        <f>VLOOKUP(E79,$Q$3:$R$6,2,0)</f>
        <v/>
      </c>
      <c r="F80" s="216">
        <f>VLOOKUP(F79,$Q$3:$R$6,2,0)</f>
        <v/>
      </c>
      <c r="G80" s="216">
        <f>VLOOKUP(G79,$Q$3:$R$6,2,0)</f>
        <v/>
      </c>
      <c r="H80" s="216">
        <f>VLOOKUP(H79,$Q$3:$R$6,2,0)</f>
        <v/>
      </c>
      <c r="I80" s="216">
        <f>VLOOKUP(I79,$Q$3:$R$6,2,0)</f>
        <v/>
      </c>
      <c r="J80" s="216">
        <f>VLOOKUP(J79,$Q$3:$R$6,2,0)</f>
        <v/>
      </c>
      <c r="K80" s="216">
        <f>VLOOKUP(K79,$Q$3:$R$6,2,0)</f>
        <v/>
      </c>
      <c r="L80" s="216">
        <f>VLOOKUP(L79,$Q$3:$R$6,2,0)</f>
        <v/>
      </c>
      <c r="M80" s="216">
        <f>VLOOKUP(M79,$Q$3:$R$6,2,0)</f>
        <v/>
      </c>
      <c r="N80" s="216">
        <f>VLOOKUP(N79,$Q$3:$R$6,2,0)</f>
        <v/>
      </c>
      <c r="O80" s="216">
        <f>VLOOKUP(O79,$Q$3:$R$6,2,0)</f>
        <v/>
      </c>
      <c r="P80" s="216">
        <f>VLOOKUP(P79,$Q$3:$R$6,2,0)</f>
        <v/>
      </c>
      <c r="Q80" s="216">
        <f>VLOOKUP(Q79,$Q$3:$R$6,2,0)</f>
        <v/>
      </c>
      <c r="R80" s="216">
        <f>VLOOKUP(R79,$Q$3:$R$6,2,0)</f>
        <v/>
      </c>
      <c r="S80" s="216">
        <f>VLOOKUP(S79,$Q$3:$R$6,2,0)</f>
        <v/>
      </c>
      <c r="T80" s="216">
        <f>VLOOKUP(T79,$Q$3:$R$6,2,0)</f>
        <v/>
      </c>
      <c r="U80" s="216">
        <f>VLOOKUP(U79,$Q$3:$R$6,2,0)</f>
        <v/>
      </c>
      <c r="V80" s="216">
        <f>VLOOKUP(V79,$Q$3:$R$6,2,0)</f>
        <v/>
      </c>
      <c r="W80" s="216">
        <f>VLOOKUP(W79,$Q$3:$R$6,2,0)</f>
        <v/>
      </c>
      <c r="X80" s="216">
        <f>VLOOKUP(X79,$Q$3:$R$6,2,0)</f>
        <v/>
      </c>
      <c r="Y80" s="216">
        <f>VLOOKUP(Y79,$Q$3:$R$6,2,0)</f>
        <v/>
      </c>
      <c r="Z80" s="216">
        <f>VLOOKUP(Z79,$Q$3:$R$6,2,0)</f>
        <v/>
      </c>
      <c r="AA80" s="216">
        <f>VLOOKUP(AA79,$Q$3:$R$6,2,0)</f>
        <v/>
      </c>
      <c r="AB80" s="216">
        <f>VLOOKUP(AB79,$Q$3:$R$6,2,0)</f>
        <v/>
      </c>
      <c r="AC80" s="216">
        <f>VLOOKUP(AC79,$Q$3:$R$6,2,0)</f>
        <v/>
      </c>
      <c r="AD80" s="216">
        <f>VLOOKUP(AD79,$Q$3:$R$6,2,0)</f>
        <v/>
      </c>
      <c r="AE80" s="216">
        <f>VLOOKUP(AE79,$Q$3:$R$6,2,0)</f>
        <v/>
      </c>
      <c r="AF80" s="216">
        <f>VLOOKUP(AF79,$Q$3:$R$6,2,0)</f>
        <v/>
      </c>
      <c r="AG80" s="216">
        <f>VLOOKUP(AG79,$Q$3:$R$6,2,0)</f>
        <v/>
      </c>
      <c r="AH80" s="216">
        <f>VLOOKUP(AH79,$Q$3:$R$6,2,0)</f>
        <v/>
      </c>
      <c r="AI80" s="216">
        <f>VLOOKUP(AI79,$Q$3:$R$6,2,0)</f>
        <v/>
      </c>
      <c r="AJ80" s="216">
        <f>VLOOKUP(AJ79,$Q$3:$R$6,2,0)</f>
        <v/>
      </c>
      <c r="AK80" s="216">
        <f>VLOOKUP(AK79,$Q$3:$R$6,2,0)</f>
        <v/>
      </c>
      <c r="AL80" s="216">
        <f>VLOOKUP(AL79,$Q$3:$R$6,2,0)</f>
        <v/>
      </c>
      <c r="AM80" s="216">
        <f>VLOOKUP(AM79,$Q$3:$R$6,2,0)</f>
        <v/>
      </c>
      <c r="AN80" s="216">
        <f>VLOOKUP(AN79,$Q$3:$R$6,2,0)</f>
        <v/>
      </c>
      <c r="AO80" s="216">
        <f>VLOOKUP(AO79,$Q$3:$R$6,2,0)</f>
        <v/>
      </c>
      <c r="AP80" s="216">
        <f>VLOOKUP(AP79,$Q$3:$R$6,2,0)</f>
        <v/>
      </c>
      <c r="AQ80" s="216">
        <f>VLOOKUP(AQ79,$Q$3:$R$6,2,0)</f>
        <v/>
      </c>
      <c r="AR80" s="216">
        <f>VLOOKUP(AR79,$Q$3:$R$6,2,0)</f>
        <v/>
      </c>
      <c r="AS80" s="216">
        <f>VLOOKUP(AS79,$Q$3:$R$6,2,0)</f>
        <v/>
      </c>
      <c r="AT80" s="216">
        <f>VLOOKUP(AT79,$Q$3:$R$6,2,0)</f>
        <v/>
      </c>
      <c r="AU80" s="216">
        <f>VLOOKUP(AU79,$Q$3:$R$6,2,0)</f>
        <v/>
      </c>
      <c r="AV80" s="216">
        <f>VLOOKUP(AV79,$Q$3:$R$6,2,0)</f>
        <v/>
      </c>
      <c r="AW80" s="216">
        <f>VLOOKUP(AW79,$Q$3:$R$6,2,0)</f>
        <v/>
      </c>
      <c r="AX80" s="216">
        <f>VLOOKUP(AX79,$Q$3:$R$6,2,0)</f>
        <v/>
      </c>
      <c r="AY80" s="216">
        <f>VLOOKUP(AY79,$Q$3:$R$6,2,0)</f>
        <v/>
      </c>
      <c r="AZ80" s="216">
        <f>VLOOKUP(AZ79,$Q$3:$R$6,2,0)</f>
        <v/>
      </c>
      <c r="BA80" s="216">
        <f>VLOOKUP(BA79,$Q$3:$R$6,2,0)</f>
        <v/>
      </c>
      <c r="BB80" s="216">
        <f>VLOOKUP(BB79,$Q$3:$R$6,2,0)</f>
        <v/>
      </c>
      <c r="BC80" s="216">
        <f>VLOOKUP(BC79,$Q$3:$R$6,2,0)</f>
        <v/>
      </c>
      <c r="BD80" s="217">
        <f>VLOOKUP(BD79,$Q$3:$R$6,2,0)</f>
        <v/>
      </c>
      <c r="BE80" s="217">
        <f>VLOOKUP(BE79,$Q$3:$R$6,2,0)</f>
        <v/>
      </c>
      <c r="BF80" s="217">
        <f>VLOOKUP(BF79,$Q$3:$R$6,2,0)</f>
        <v/>
      </c>
      <c r="BG80" s="217">
        <f>VLOOKUP(BG79,$Q$3:$R$6,2,0)</f>
        <v/>
      </c>
      <c r="BH80" s="217">
        <f>VLOOKUP(BH79,$Q$3:$R$6,2,0)</f>
        <v/>
      </c>
      <c r="BI80" s="217">
        <f>VLOOKUP(BI79,$Q$3:$R$6,2,0)</f>
        <v/>
      </c>
      <c r="BJ80" s="217">
        <f>VLOOKUP(BJ79,$Q$3:$R$6,2,0)</f>
        <v/>
      </c>
      <c r="BK80" s="217">
        <f>VLOOKUP(BK79,$Q$3:$R$6,2,0)</f>
        <v/>
      </c>
      <c r="BL80" s="217">
        <f>VLOOKUP(BL79,$Q$3:$R$6,2,0)</f>
        <v/>
      </c>
      <c r="BM80" s="217">
        <f>VLOOKUP(BM79,$Q$3:$R$6,2,0)</f>
        <v/>
      </c>
      <c r="BN80" s="217">
        <f>VLOOKUP(BN79,$Q$3:$R$6,2,0)</f>
        <v/>
      </c>
      <c r="BO80" s="217">
        <f>VLOOKUP(BO79,$Q$3:$R$6,2,0)</f>
        <v/>
      </c>
      <c r="BP80" s="217">
        <f>VLOOKUP(BP79,$Q$3:$R$6,2,0)</f>
        <v/>
      </c>
      <c r="BQ80" s="234" t="n"/>
      <c r="BR80" s="67" t="n"/>
    </row>
    <row r="81" ht="17" customHeight="1" s="165">
      <c r="A81" s="210" t="n"/>
      <c r="B81" s="57" t="inlineStr">
        <is>
          <t>Annual Travel Distance (km)</t>
        </is>
      </c>
      <c r="C81" s="235" t="n"/>
      <c r="D81" s="235" t="n"/>
      <c r="E81" s="235" t="n"/>
      <c r="F81" s="235" t="n"/>
      <c r="G81" s="235" t="n"/>
      <c r="H81" s="235" t="n"/>
      <c r="I81" s="235" t="n"/>
      <c r="J81" s="235" t="n"/>
      <c r="K81" s="235" t="n"/>
      <c r="L81" s="235" t="n"/>
      <c r="M81" s="235" t="n"/>
      <c r="N81" s="235" t="n"/>
      <c r="O81" s="235" t="n"/>
      <c r="P81" s="235" t="n">
        <v>81366</v>
      </c>
      <c r="Q81" s="235" t="n"/>
      <c r="R81" s="235" t="n"/>
      <c r="S81" s="235" t="n"/>
      <c r="T81" s="235" t="n"/>
      <c r="U81" s="235" t="n"/>
      <c r="V81" s="235" t="n"/>
      <c r="W81" s="235" t="n"/>
      <c r="X81" s="235" t="n"/>
      <c r="Y81" s="235" t="n"/>
      <c r="Z81" s="235" t="n"/>
      <c r="AA81" s="235" t="n"/>
      <c r="AB81" s="235" t="n"/>
      <c r="AC81" s="235" t="n"/>
      <c r="AD81" s="235" t="n"/>
      <c r="AE81" s="235" t="n"/>
      <c r="AF81" s="235" t="n"/>
      <c r="AG81" s="235" t="n"/>
      <c r="AH81" s="235" t="n"/>
      <c r="AI81" s="235" t="n"/>
      <c r="AJ81" s="235" t="n"/>
      <c r="AK81" s="235" t="n"/>
      <c r="AL81" s="235" t="n"/>
      <c r="AM81" s="235" t="n"/>
      <c r="AN81" s="235" t="n"/>
      <c r="AO81" s="235" t="n"/>
      <c r="AP81" s="235" t="n"/>
      <c r="AQ81" s="235" t="n"/>
      <c r="AR81" s="235" t="n"/>
      <c r="AS81" s="235" t="n"/>
      <c r="AT81" s="235" t="n"/>
      <c r="AU81" s="235" t="n"/>
      <c r="AV81" s="235" t="n"/>
      <c r="AW81" s="235" t="n"/>
      <c r="AX81" s="235" t="n"/>
      <c r="AY81" s="235" t="n"/>
      <c r="AZ81" s="235" t="n"/>
      <c r="BA81" s="235" t="n"/>
      <c r="BB81" s="235" t="n"/>
      <c r="BC81" s="235" t="n"/>
      <c r="BD81" s="236" t="n"/>
      <c r="BE81" s="236" t="n"/>
      <c r="BF81" s="236" t="n"/>
      <c r="BG81" s="236" t="n"/>
      <c r="BH81" s="236" t="n"/>
      <c r="BI81" s="236" t="n"/>
      <c r="BJ81" s="236" t="n"/>
      <c r="BK81" s="236" t="n"/>
      <c r="BL81" s="236" t="n"/>
      <c r="BM81" s="236" t="n"/>
      <c r="BN81" s="236" t="n"/>
      <c r="BO81" s="236" t="n"/>
      <c r="BP81" s="236" t="n"/>
      <c r="BQ81" s="234" t="n"/>
      <c r="BR81" s="67" t="n"/>
    </row>
    <row r="82" ht="18.5" customHeight="1" s="165">
      <c r="A82" s="192" t="n"/>
      <c r="B82" s="77" t="inlineStr">
        <is>
          <t>Total Sold Weight (kg)</t>
        </is>
      </c>
      <c r="C82" s="78" t="n"/>
      <c r="D82" s="78" t="n"/>
      <c r="E82" s="78" t="n"/>
      <c r="F82" s="78" t="n"/>
      <c r="G82" s="78" t="n"/>
      <c r="H82" s="78" t="n"/>
      <c r="I82" s="78" t="n"/>
      <c r="J82" s="78" t="n"/>
      <c r="K82" s="78" t="n"/>
      <c r="L82" s="78" t="n"/>
      <c r="M82" s="78" t="n"/>
      <c r="N82" s="78" t="n"/>
      <c r="O82" s="78" t="n"/>
      <c r="P82" s="78" t="n">
        <v>1415312.058</v>
      </c>
      <c r="Q82" s="78" t="n"/>
      <c r="R82" s="78" t="n"/>
      <c r="S82" s="78" t="n"/>
      <c r="T82" s="78" t="n"/>
      <c r="U82" s="78" t="n"/>
      <c r="V82" s="78" t="n"/>
      <c r="W82" s="78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8" t="n"/>
      <c r="AK82" s="78" t="n"/>
      <c r="AL82" s="78" t="n"/>
      <c r="AM82" s="78" t="n"/>
      <c r="AN82" s="78" t="n"/>
      <c r="AO82" s="78" t="n"/>
      <c r="AP82" s="78" t="n"/>
      <c r="AQ82" s="78" t="n"/>
      <c r="AR82" s="78" t="n"/>
      <c r="AS82" s="78" t="n"/>
      <c r="AT82" s="78" t="n"/>
      <c r="AU82" s="78" t="n"/>
      <c r="AV82" s="78" t="n"/>
      <c r="AW82" s="78" t="n"/>
      <c r="AX82" s="78" t="n"/>
      <c r="AY82" s="78" t="n"/>
      <c r="AZ82" s="78" t="n"/>
      <c r="BA82" s="78" t="n"/>
      <c r="BB82" s="78" t="n"/>
      <c r="BC82" s="78" t="n"/>
      <c r="BD82" s="79" t="n"/>
      <c r="BE82" s="79" t="n"/>
      <c r="BF82" s="79" t="n"/>
      <c r="BG82" s="79" t="n"/>
      <c r="BH82" s="79" t="n"/>
      <c r="BI82" s="79" t="n"/>
      <c r="BJ82" s="79" t="n"/>
      <c r="BK82" s="79" t="n"/>
      <c r="BL82" s="79" t="n"/>
      <c r="BM82" s="79" t="n"/>
      <c r="BN82" s="79" t="n"/>
      <c r="BO82" s="79" t="n"/>
      <c r="BP82" s="79" t="n"/>
      <c r="BQ82" s="198">
        <f t="array" ref="BQ82">SUMPRODUCT(C80:BP80,C81:BP81,C82:BP82/1000)</f>
        <v/>
      </c>
      <c r="BR82" s="199">
        <f>BQ82/1000</f>
        <v/>
      </c>
    </row>
    <row r="83" ht="18.5" customHeight="1" s="165">
      <c r="A83" s="152" t="inlineStr">
        <is>
          <t>İzmit</t>
        </is>
      </c>
      <c r="B83" s="56" t="inlineStr">
        <is>
          <t>Transport Mode</t>
        </is>
      </c>
      <c r="C83" s="213" t="inlineStr">
        <is>
          <t>Rail</t>
        </is>
      </c>
      <c r="D83" s="213" t="inlineStr">
        <is>
          <t>Truck</t>
        </is>
      </c>
      <c r="E83" s="213" t="inlineStr">
        <is>
          <t>Truck</t>
        </is>
      </c>
      <c r="F83" s="213" t="inlineStr">
        <is>
          <t>Air</t>
        </is>
      </c>
      <c r="G83" s="213" t="inlineStr">
        <is>
          <t>Truck</t>
        </is>
      </c>
      <c r="H83" s="213" t="inlineStr">
        <is>
          <t>Truck</t>
        </is>
      </c>
      <c r="I83" s="213" t="inlineStr">
        <is>
          <t>Truck</t>
        </is>
      </c>
      <c r="J83" s="213" t="inlineStr">
        <is>
          <t>Truck</t>
        </is>
      </c>
      <c r="K83" s="213" t="inlineStr">
        <is>
          <t>Truck</t>
        </is>
      </c>
      <c r="L83" s="213" t="inlineStr">
        <is>
          <t>Ocean Vessel</t>
        </is>
      </c>
      <c r="M83" s="213" t="inlineStr">
        <is>
          <t>Truck</t>
        </is>
      </c>
      <c r="N83" s="213" t="inlineStr">
        <is>
          <t>Truck</t>
        </is>
      </c>
      <c r="O83" s="213" t="inlineStr">
        <is>
          <t>Truck</t>
        </is>
      </c>
      <c r="P83" s="213" t="inlineStr">
        <is>
          <t>Truck</t>
        </is>
      </c>
      <c r="Q83" s="213" t="inlineStr">
        <is>
          <t>Truck</t>
        </is>
      </c>
      <c r="R83" s="213" t="inlineStr">
        <is>
          <t>Truck</t>
        </is>
      </c>
      <c r="S83" s="213" t="inlineStr">
        <is>
          <t>Truck</t>
        </is>
      </c>
      <c r="T83" s="213" t="inlineStr">
        <is>
          <t>Truck</t>
        </is>
      </c>
      <c r="U83" s="213" t="inlineStr">
        <is>
          <t>Truck</t>
        </is>
      </c>
      <c r="V83" s="213" t="inlineStr">
        <is>
          <t>Truck</t>
        </is>
      </c>
      <c r="W83" s="213" t="inlineStr">
        <is>
          <t>Truck</t>
        </is>
      </c>
      <c r="X83" s="213" t="inlineStr">
        <is>
          <t>Truck</t>
        </is>
      </c>
      <c r="Y83" s="213" t="inlineStr">
        <is>
          <t>Truck</t>
        </is>
      </c>
      <c r="Z83" s="213" t="inlineStr">
        <is>
          <t>Truck</t>
        </is>
      </c>
      <c r="AA83" s="213" t="inlineStr">
        <is>
          <t>Truck</t>
        </is>
      </c>
      <c r="AB83" s="213" t="inlineStr">
        <is>
          <t>Truck</t>
        </is>
      </c>
      <c r="AC83" s="213" t="inlineStr">
        <is>
          <t>Truck</t>
        </is>
      </c>
      <c r="AD83" s="213" t="inlineStr">
        <is>
          <t>Truck</t>
        </is>
      </c>
      <c r="AE83" s="213" t="inlineStr">
        <is>
          <t>Truck</t>
        </is>
      </c>
      <c r="AF83" s="213" t="inlineStr">
        <is>
          <t>Truck</t>
        </is>
      </c>
      <c r="AG83" s="213" t="inlineStr">
        <is>
          <t>Truck</t>
        </is>
      </c>
      <c r="AH83" s="213" t="inlineStr">
        <is>
          <t>Truck</t>
        </is>
      </c>
      <c r="AI83" s="213" t="inlineStr">
        <is>
          <t>Truck</t>
        </is>
      </c>
      <c r="AJ83" s="213" t="inlineStr">
        <is>
          <t>Truck</t>
        </is>
      </c>
      <c r="AK83" s="213" t="inlineStr">
        <is>
          <t>Truck</t>
        </is>
      </c>
      <c r="AL83" s="213" t="inlineStr">
        <is>
          <t>Truck</t>
        </is>
      </c>
      <c r="AM83" s="213" t="inlineStr">
        <is>
          <t>Truck</t>
        </is>
      </c>
      <c r="AN83" s="213" t="inlineStr">
        <is>
          <t>Truck</t>
        </is>
      </c>
      <c r="AO83" s="213" t="inlineStr">
        <is>
          <t>Truck</t>
        </is>
      </c>
      <c r="AP83" s="213" t="inlineStr">
        <is>
          <t>Truck</t>
        </is>
      </c>
      <c r="AQ83" s="213" t="inlineStr">
        <is>
          <t>Truck</t>
        </is>
      </c>
      <c r="AR83" s="213" t="inlineStr">
        <is>
          <t>Truck</t>
        </is>
      </c>
      <c r="AS83" s="213" t="inlineStr">
        <is>
          <t>Truck</t>
        </is>
      </c>
      <c r="AT83" s="213" t="inlineStr">
        <is>
          <t>Truck</t>
        </is>
      </c>
      <c r="AU83" s="213" t="inlineStr">
        <is>
          <t>Truck</t>
        </is>
      </c>
      <c r="AV83" s="213" t="inlineStr">
        <is>
          <t>Truck</t>
        </is>
      </c>
      <c r="AW83" s="213" t="inlineStr">
        <is>
          <t>Truck</t>
        </is>
      </c>
      <c r="AX83" s="213" t="inlineStr">
        <is>
          <t>Truck</t>
        </is>
      </c>
      <c r="AY83" s="213" t="inlineStr">
        <is>
          <t>Truck</t>
        </is>
      </c>
      <c r="AZ83" s="213" t="inlineStr">
        <is>
          <t>Truck</t>
        </is>
      </c>
      <c r="BA83" s="213" t="inlineStr">
        <is>
          <t>Truck</t>
        </is>
      </c>
      <c r="BB83" s="213" t="inlineStr">
        <is>
          <t>Truck</t>
        </is>
      </c>
      <c r="BC83" s="213" t="inlineStr">
        <is>
          <t>Truck</t>
        </is>
      </c>
      <c r="BD83" s="214" t="inlineStr">
        <is>
          <t>Truck</t>
        </is>
      </c>
      <c r="BE83" s="214" t="inlineStr">
        <is>
          <t>Truck</t>
        </is>
      </c>
      <c r="BF83" s="214" t="inlineStr">
        <is>
          <t>Truck</t>
        </is>
      </c>
      <c r="BG83" s="214" t="inlineStr">
        <is>
          <t>Truck</t>
        </is>
      </c>
      <c r="BH83" s="214" t="inlineStr">
        <is>
          <t>Truck</t>
        </is>
      </c>
      <c r="BI83" s="214" t="inlineStr">
        <is>
          <t>Truck</t>
        </is>
      </c>
      <c r="BJ83" s="214" t="inlineStr">
        <is>
          <t>Truck</t>
        </is>
      </c>
      <c r="BK83" s="214" t="inlineStr">
        <is>
          <t>Truck</t>
        </is>
      </c>
      <c r="BL83" s="214" t="inlineStr">
        <is>
          <t>Truck</t>
        </is>
      </c>
      <c r="BM83" s="214" t="inlineStr">
        <is>
          <t>Truck</t>
        </is>
      </c>
      <c r="BN83" s="214" t="inlineStr">
        <is>
          <t>Truck</t>
        </is>
      </c>
      <c r="BO83" s="214" t="inlineStr">
        <is>
          <t>Truck</t>
        </is>
      </c>
      <c r="BP83" s="214" t="inlineStr">
        <is>
          <t>Truck</t>
        </is>
      </c>
      <c r="BQ83" s="70" t="n"/>
      <c r="BR83" s="67" t="n"/>
    </row>
    <row r="84" ht="17" customHeight="1" s="165">
      <c r="A84" s="210" t="n"/>
      <c r="B84" s="152" t="inlineStr">
        <is>
          <t>Emission Factor (Auto)</t>
        </is>
      </c>
      <c r="C84" s="216">
        <f>VLOOKUP(C83,$Q$3:$R$6,2,0)</f>
        <v/>
      </c>
      <c r="D84" s="216">
        <f>VLOOKUP(D83,$Q$3:$R$6,2,0)</f>
        <v/>
      </c>
      <c r="E84" s="216">
        <f>VLOOKUP(E83,$Q$3:$R$6,2,0)</f>
        <v/>
      </c>
      <c r="F84" s="216">
        <f>VLOOKUP(F83,$Q$3:$R$6,2,0)</f>
        <v/>
      </c>
      <c r="G84" s="216">
        <f>VLOOKUP(G83,$Q$3:$R$6,2,0)</f>
        <v/>
      </c>
      <c r="H84" s="216">
        <f>VLOOKUP(H83,$Q$3:$R$6,2,0)</f>
        <v/>
      </c>
      <c r="I84" s="216">
        <f>VLOOKUP(I83,$Q$3:$R$6,2,0)</f>
        <v/>
      </c>
      <c r="J84" s="216">
        <f>VLOOKUP(J83,$Q$3:$R$6,2,0)</f>
        <v/>
      </c>
      <c r="K84" s="216">
        <f>VLOOKUP(K83,$Q$3:$R$6,2,0)</f>
        <v/>
      </c>
      <c r="L84" s="216">
        <f>VLOOKUP(L83,$Q$3:$R$6,2,0)</f>
        <v/>
      </c>
      <c r="M84" s="216">
        <f>VLOOKUP(M83,$Q$3:$R$6,2,0)</f>
        <v/>
      </c>
      <c r="N84" s="216">
        <f>VLOOKUP(N83,$Q$3:$R$6,2,0)</f>
        <v/>
      </c>
      <c r="O84" s="216">
        <f>VLOOKUP(O83,$Q$3:$R$6,2,0)</f>
        <v/>
      </c>
      <c r="P84" s="216">
        <f>VLOOKUP(P83,$Q$3:$R$6,2,0)</f>
        <v/>
      </c>
      <c r="Q84" s="216">
        <f>VLOOKUP(Q83,$Q$3:$R$6,2,0)</f>
        <v/>
      </c>
      <c r="R84" s="216">
        <f>VLOOKUP(R83,$Q$3:$R$6,2,0)</f>
        <v/>
      </c>
      <c r="S84" s="216">
        <f>VLOOKUP(S83,$Q$3:$R$6,2,0)</f>
        <v/>
      </c>
      <c r="T84" s="216">
        <f>VLOOKUP(T83,$Q$3:$R$6,2,0)</f>
        <v/>
      </c>
      <c r="U84" s="216">
        <f>VLOOKUP(U83,$Q$3:$R$6,2,0)</f>
        <v/>
      </c>
      <c r="V84" s="216">
        <f>VLOOKUP(V83,$Q$3:$R$6,2,0)</f>
        <v/>
      </c>
      <c r="W84" s="216">
        <f>VLOOKUP(W83,$Q$3:$R$6,2,0)</f>
        <v/>
      </c>
      <c r="X84" s="216">
        <f>VLOOKUP(X83,$Q$3:$R$6,2,0)</f>
        <v/>
      </c>
      <c r="Y84" s="216">
        <f>VLOOKUP(Y83,$Q$3:$R$6,2,0)</f>
        <v/>
      </c>
      <c r="Z84" s="216">
        <f>VLOOKUP(Z83,$Q$3:$R$6,2,0)</f>
        <v/>
      </c>
      <c r="AA84" s="216">
        <f>VLOOKUP(AA83,$Q$3:$R$6,2,0)</f>
        <v/>
      </c>
      <c r="AB84" s="216">
        <f>VLOOKUP(AB83,$Q$3:$R$6,2,0)</f>
        <v/>
      </c>
      <c r="AC84" s="216">
        <f>VLOOKUP(AC83,$Q$3:$R$6,2,0)</f>
        <v/>
      </c>
      <c r="AD84" s="216">
        <f>VLOOKUP(AD83,$Q$3:$R$6,2,0)</f>
        <v/>
      </c>
      <c r="AE84" s="216">
        <f>VLOOKUP(AE83,$Q$3:$R$6,2,0)</f>
        <v/>
      </c>
      <c r="AF84" s="216">
        <f>VLOOKUP(AF83,$Q$3:$R$6,2,0)</f>
        <v/>
      </c>
      <c r="AG84" s="216">
        <f>VLOOKUP(AG83,$Q$3:$R$6,2,0)</f>
        <v/>
      </c>
      <c r="AH84" s="216">
        <f>VLOOKUP(AH83,$Q$3:$R$6,2,0)</f>
        <v/>
      </c>
      <c r="AI84" s="216">
        <f>VLOOKUP(AI83,$Q$3:$R$6,2,0)</f>
        <v/>
      </c>
      <c r="AJ84" s="216">
        <f>VLOOKUP(AJ83,$Q$3:$R$6,2,0)</f>
        <v/>
      </c>
      <c r="AK84" s="216">
        <f>VLOOKUP(AK83,$Q$3:$R$6,2,0)</f>
        <v/>
      </c>
      <c r="AL84" s="216">
        <f>VLOOKUP(AL83,$Q$3:$R$6,2,0)</f>
        <v/>
      </c>
      <c r="AM84" s="216">
        <f>VLOOKUP(AM83,$Q$3:$R$6,2,0)</f>
        <v/>
      </c>
      <c r="AN84" s="216">
        <f>VLOOKUP(AN83,$Q$3:$R$6,2,0)</f>
        <v/>
      </c>
      <c r="AO84" s="216">
        <f>VLOOKUP(AO83,$Q$3:$R$6,2,0)</f>
        <v/>
      </c>
      <c r="AP84" s="216">
        <f>VLOOKUP(AP83,$Q$3:$R$6,2,0)</f>
        <v/>
      </c>
      <c r="AQ84" s="216">
        <f>VLOOKUP(AQ83,$Q$3:$R$6,2,0)</f>
        <v/>
      </c>
      <c r="AR84" s="216">
        <f>VLOOKUP(AR83,$Q$3:$R$6,2,0)</f>
        <v/>
      </c>
      <c r="AS84" s="216">
        <f>VLOOKUP(AS83,$Q$3:$R$6,2,0)</f>
        <v/>
      </c>
      <c r="AT84" s="216">
        <f>VLOOKUP(AT83,$Q$3:$R$6,2,0)</f>
        <v/>
      </c>
      <c r="AU84" s="216">
        <f>VLOOKUP(AU83,$Q$3:$R$6,2,0)</f>
        <v/>
      </c>
      <c r="AV84" s="216">
        <f>VLOOKUP(AV83,$Q$3:$R$6,2,0)</f>
        <v/>
      </c>
      <c r="AW84" s="216">
        <f>VLOOKUP(AW83,$Q$3:$R$6,2,0)</f>
        <v/>
      </c>
      <c r="AX84" s="216">
        <f>VLOOKUP(AX83,$Q$3:$R$6,2,0)</f>
        <v/>
      </c>
      <c r="AY84" s="216">
        <f>VLOOKUP(AY83,$Q$3:$R$6,2,0)</f>
        <v/>
      </c>
      <c r="AZ84" s="216">
        <f>VLOOKUP(AZ83,$Q$3:$R$6,2,0)</f>
        <v/>
      </c>
      <c r="BA84" s="216">
        <f>VLOOKUP(BA83,$Q$3:$R$6,2,0)</f>
        <v/>
      </c>
      <c r="BB84" s="216">
        <f>VLOOKUP(BB83,$Q$3:$R$6,2,0)</f>
        <v/>
      </c>
      <c r="BC84" s="216">
        <f>VLOOKUP(BC83,$Q$3:$R$6,2,0)</f>
        <v/>
      </c>
      <c r="BD84" s="217">
        <f>VLOOKUP(BD83,$Q$3:$R$6,2,0)</f>
        <v/>
      </c>
      <c r="BE84" s="217">
        <f>VLOOKUP(BE83,$Q$3:$R$6,2,0)</f>
        <v/>
      </c>
      <c r="BF84" s="217">
        <f>VLOOKUP(BF83,$Q$3:$R$6,2,0)</f>
        <v/>
      </c>
      <c r="BG84" s="217">
        <f>VLOOKUP(BG83,$Q$3:$R$6,2,0)</f>
        <v/>
      </c>
      <c r="BH84" s="217">
        <f>VLOOKUP(BH83,$Q$3:$R$6,2,0)</f>
        <v/>
      </c>
      <c r="BI84" s="217">
        <f>VLOOKUP(BI83,$Q$3:$R$6,2,0)</f>
        <v/>
      </c>
      <c r="BJ84" s="217">
        <f>VLOOKUP(BJ83,$Q$3:$R$6,2,0)</f>
        <v/>
      </c>
      <c r="BK84" s="217">
        <f>VLOOKUP(BK83,$Q$3:$R$6,2,0)</f>
        <v/>
      </c>
      <c r="BL84" s="217">
        <f>VLOOKUP(BL83,$Q$3:$R$6,2,0)</f>
        <v/>
      </c>
      <c r="BM84" s="217">
        <f>VLOOKUP(BM83,$Q$3:$R$6,2,0)</f>
        <v/>
      </c>
      <c r="BN84" s="217">
        <f>VLOOKUP(BN83,$Q$3:$R$6,2,0)</f>
        <v/>
      </c>
      <c r="BO84" s="217">
        <f>VLOOKUP(BO83,$Q$3:$R$6,2,0)</f>
        <v/>
      </c>
      <c r="BP84" s="217">
        <f>VLOOKUP(BP83,$Q$3:$R$6,2,0)</f>
        <v/>
      </c>
      <c r="BQ84" s="234" t="n"/>
      <c r="BR84" s="67" t="n"/>
    </row>
    <row r="85" ht="17" customHeight="1" s="165">
      <c r="A85" s="210" t="n"/>
      <c r="B85" s="57" t="inlineStr">
        <is>
          <t>Annual Travel Distance (km)</t>
        </is>
      </c>
      <c r="C85" s="235" t="n"/>
      <c r="D85" s="235" t="n"/>
      <c r="E85" s="235" t="n"/>
      <c r="F85" s="235" t="n"/>
      <c r="G85" s="235" t="n"/>
      <c r="H85" s="235" t="n"/>
      <c r="I85" s="235" t="n"/>
      <c r="J85" s="235" t="n"/>
      <c r="K85" s="235" t="n"/>
      <c r="L85" s="235" t="n"/>
      <c r="M85" s="235" t="n"/>
      <c r="N85" s="235" t="n"/>
      <c r="O85" s="235" t="n"/>
      <c r="P85" s="235" t="n"/>
      <c r="Q85" s="235" t="n"/>
      <c r="R85" s="235" t="n"/>
      <c r="S85" s="235" t="n"/>
      <c r="T85" s="235" t="n"/>
      <c r="U85" s="235" t="n"/>
      <c r="V85" s="235" t="n"/>
      <c r="W85" s="235" t="n"/>
      <c r="X85" s="235" t="n"/>
      <c r="Y85" s="235" t="n"/>
      <c r="Z85" s="235" t="n"/>
      <c r="AA85" s="235" t="n"/>
      <c r="AB85" s="235" t="n"/>
      <c r="AC85" s="235" t="n"/>
      <c r="AD85" s="235" t="n"/>
      <c r="AE85" s="235" t="n"/>
      <c r="AF85" s="235" t="n"/>
      <c r="AG85" s="235" t="n"/>
      <c r="AH85" s="235" t="n"/>
      <c r="AI85" s="235" t="n"/>
      <c r="AJ85" s="235" t="n"/>
      <c r="AK85" s="235" t="n"/>
      <c r="AL85" s="235" t="n"/>
      <c r="AM85" s="235" t="n"/>
      <c r="AN85" s="235" t="n"/>
      <c r="AO85" s="235" t="n"/>
      <c r="AP85" s="235" t="n"/>
      <c r="AQ85" s="235" t="n"/>
      <c r="AR85" s="235" t="n"/>
      <c r="AS85" s="235" t="n"/>
      <c r="AT85" s="235" t="n"/>
      <c r="AU85" s="235" t="n"/>
      <c r="AV85" s="235" t="n"/>
      <c r="AW85" s="235" t="n"/>
      <c r="AX85" s="235" t="n"/>
      <c r="AY85" s="235" t="n"/>
      <c r="AZ85" s="235" t="n"/>
      <c r="BA85" s="235" t="n"/>
      <c r="BB85" s="235" t="n"/>
      <c r="BC85" s="235" t="n"/>
      <c r="BD85" s="236" t="n"/>
      <c r="BE85" s="236" t="n"/>
      <c r="BF85" s="236" t="n"/>
      <c r="BG85" s="236" t="n"/>
      <c r="BH85" s="236" t="n"/>
      <c r="BI85" s="236" t="n"/>
      <c r="BJ85" s="236" t="n"/>
      <c r="BK85" s="236" t="n"/>
      <c r="BL85" s="236" t="n"/>
      <c r="BM85" s="236" t="n"/>
      <c r="BN85" s="236" t="n"/>
      <c r="BO85" s="236" t="n"/>
      <c r="BP85" s="236" t="n"/>
      <c r="BQ85" s="234" t="n"/>
      <c r="BR85" s="67" t="n"/>
    </row>
    <row r="86" ht="18.5" customHeight="1" s="165">
      <c r="A86" s="192" t="n"/>
      <c r="B86" s="77" t="inlineStr">
        <is>
          <t>Total Sold Weight (kg)</t>
        </is>
      </c>
      <c r="C86" s="78" t="n"/>
      <c r="D86" s="78" t="n"/>
      <c r="E86" s="78" t="n"/>
      <c r="F86" s="78" t="n"/>
      <c r="G86" s="78" t="n"/>
      <c r="H86" s="78" t="n"/>
      <c r="I86" s="78" t="n"/>
      <c r="J86" s="78" t="n"/>
      <c r="K86" s="78" t="n"/>
      <c r="L86" s="78" t="n"/>
      <c r="M86" s="78" t="n"/>
      <c r="N86" s="78" t="n"/>
      <c r="O86" s="78" t="n"/>
      <c r="P86" s="78" t="n"/>
      <c r="Q86" s="78" t="n"/>
      <c r="R86" s="78" t="n"/>
      <c r="S86" s="78" t="n"/>
      <c r="T86" s="78" t="n"/>
      <c r="U86" s="78" t="n"/>
      <c r="V86" s="78" t="n"/>
      <c r="W86" s="78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8" t="n"/>
      <c r="AK86" s="78" t="n"/>
      <c r="AL86" s="78" t="n"/>
      <c r="AM86" s="78" t="n"/>
      <c r="AN86" s="78" t="n"/>
      <c r="AO86" s="78" t="n"/>
      <c r="AP86" s="78" t="n"/>
      <c r="AQ86" s="78" t="n"/>
      <c r="AR86" s="78" t="n"/>
      <c r="AS86" s="78" t="n"/>
      <c r="AT86" s="78" t="n"/>
      <c r="AU86" s="78" t="n"/>
      <c r="AV86" s="78" t="n"/>
      <c r="AW86" s="78" t="n"/>
      <c r="AX86" s="78" t="n"/>
      <c r="AY86" s="78" t="n"/>
      <c r="AZ86" s="78" t="n"/>
      <c r="BA86" s="78" t="n"/>
      <c r="BB86" s="78" t="n"/>
      <c r="BC86" s="78" t="n"/>
      <c r="BD86" s="79" t="n"/>
      <c r="BE86" s="79" t="n"/>
      <c r="BF86" s="79" t="n"/>
      <c r="BG86" s="79" t="n"/>
      <c r="BH86" s="79" t="n"/>
      <c r="BI86" s="79" t="n"/>
      <c r="BJ86" s="79" t="n"/>
      <c r="BK86" s="79" t="n"/>
      <c r="BL86" s="79" t="n"/>
      <c r="BM86" s="79" t="n"/>
      <c r="BN86" s="79" t="n"/>
      <c r="BO86" s="79" t="n"/>
      <c r="BP86" s="79" t="n"/>
      <c r="BQ86" s="198">
        <f t="array" ref="BQ86">SUMPRODUCT(C84:BP84,C85:BP85,C86:BP86/1000)</f>
        <v/>
      </c>
      <c r="BR86" s="199">
        <f>BQ86/1000</f>
        <v/>
      </c>
    </row>
    <row r="87" ht="18.5" customHeight="1" s="165">
      <c r="A87" s="152" t="inlineStr">
        <is>
          <t>Bekasi</t>
        </is>
      </c>
      <c r="B87" s="56" t="inlineStr">
        <is>
          <t>Transport Mode</t>
        </is>
      </c>
      <c r="C87" s="213" t="inlineStr">
        <is>
          <t>Rail</t>
        </is>
      </c>
      <c r="D87" s="213" t="inlineStr">
        <is>
          <t>Truck</t>
        </is>
      </c>
      <c r="E87" s="213" t="inlineStr">
        <is>
          <t>Truck</t>
        </is>
      </c>
      <c r="F87" s="213" t="inlineStr">
        <is>
          <t>Air</t>
        </is>
      </c>
      <c r="G87" s="213" t="inlineStr">
        <is>
          <t>Truck</t>
        </is>
      </c>
      <c r="H87" s="213" t="inlineStr">
        <is>
          <t>Truck</t>
        </is>
      </c>
      <c r="I87" s="213" t="inlineStr">
        <is>
          <t>Truck</t>
        </is>
      </c>
      <c r="J87" s="213" t="inlineStr">
        <is>
          <t>Truck</t>
        </is>
      </c>
      <c r="K87" s="213" t="inlineStr">
        <is>
          <t>Truck</t>
        </is>
      </c>
      <c r="L87" s="213" t="inlineStr">
        <is>
          <t>Ocean Vessel</t>
        </is>
      </c>
      <c r="M87" s="213" t="inlineStr">
        <is>
          <t>Truck</t>
        </is>
      </c>
      <c r="N87" s="213" t="inlineStr">
        <is>
          <t>Truck</t>
        </is>
      </c>
      <c r="O87" s="213" t="inlineStr">
        <is>
          <t>Truck</t>
        </is>
      </c>
      <c r="P87" s="213" t="inlineStr">
        <is>
          <t>Truck</t>
        </is>
      </c>
      <c r="Q87" s="213" t="inlineStr">
        <is>
          <t>Truck</t>
        </is>
      </c>
      <c r="R87" s="213" t="inlineStr">
        <is>
          <t>Truck</t>
        </is>
      </c>
      <c r="S87" s="213" t="inlineStr">
        <is>
          <t>Truck</t>
        </is>
      </c>
      <c r="T87" s="213" t="inlineStr">
        <is>
          <t>Truck</t>
        </is>
      </c>
      <c r="U87" s="213" t="inlineStr">
        <is>
          <t>Truck</t>
        </is>
      </c>
      <c r="V87" s="213" t="inlineStr">
        <is>
          <t>Truck</t>
        </is>
      </c>
      <c r="W87" s="213" t="inlineStr">
        <is>
          <t>Truck</t>
        </is>
      </c>
      <c r="X87" s="213" t="inlineStr">
        <is>
          <t>Truck</t>
        </is>
      </c>
      <c r="Y87" s="213" t="inlineStr">
        <is>
          <t>Truck</t>
        </is>
      </c>
      <c r="Z87" s="213" t="inlineStr">
        <is>
          <t>Truck</t>
        </is>
      </c>
      <c r="AA87" s="213" t="inlineStr">
        <is>
          <t>Truck</t>
        </is>
      </c>
      <c r="AB87" s="213" t="inlineStr">
        <is>
          <t>Truck</t>
        </is>
      </c>
      <c r="AC87" s="213" t="inlineStr">
        <is>
          <t>Truck</t>
        </is>
      </c>
      <c r="AD87" s="213" t="inlineStr">
        <is>
          <t>Truck</t>
        </is>
      </c>
      <c r="AE87" s="213" t="inlineStr">
        <is>
          <t>Truck</t>
        </is>
      </c>
      <c r="AF87" s="213" t="inlineStr">
        <is>
          <t>Truck</t>
        </is>
      </c>
      <c r="AG87" s="213" t="inlineStr">
        <is>
          <t>Truck</t>
        </is>
      </c>
      <c r="AH87" s="213" t="inlineStr">
        <is>
          <t>Truck</t>
        </is>
      </c>
      <c r="AI87" s="213" t="inlineStr">
        <is>
          <t>Truck</t>
        </is>
      </c>
      <c r="AJ87" s="213" t="inlineStr">
        <is>
          <t>Truck</t>
        </is>
      </c>
      <c r="AK87" s="213" t="inlineStr">
        <is>
          <t>Truck</t>
        </is>
      </c>
      <c r="AL87" s="213" t="inlineStr">
        <is>
          <t>Truck</t>
        </is>
      </c>
      <c r="AM87" s="213" t="inlineStr">
        <is>
          <t>Truck</t>
        </is>
      </c>
      <c r="AN87" s="213" t="inlineStr">
        <is>
          <t>Truck</t>
        </is>
      </c>
      <c r="AO87" s="213" t="inlineStr">
        <is>
          <t>Truck</t>
        </is>
      </c>
      <c r="AP87" s="213" t="inlineStr">
        <is>
          <t>Truck</t>
        </is>
      </c>
      <c r="AQ87" s="213" t="inlineStr">
        <is>
          <t>Truck</t>
        </is>
      </c>
      <c r="AR87" s="213" t="inlineStr">
        <is>
          <t>Truck</t>
        </is>
      </c>
      <c r="AS87" s="213" t="inlineStr">
        <is>
          <t>Truck</t>
        </is>
      </c>
      <c r="AT87" s="213" t="inlineStr">
        <is>
          <t>Truck</t>
        </is>
      </c>
      <c r="AU87" s="213" t="inlineStr">
        <is>
          <t>Truck</t>
        </is>
      </c>
      <c r="AV87" s="213" t="inlineStr">
        <is>
          <t>Truck</t>
        </is>
      </c>
      <c r="AW87" s="213" t="inlineStr">
        <is>
          <t>Truck</t>
        </is>
      </c>
      <c r="AX87" s="213" t="inlineStr">
        <is>
          <t>Truck</t>
        </is>
      </c>
      <c r="AY87" s="213" t="inlineStr">
        <is>
          <t>Truck</t>
        </is>
      </c>
      <c r="AZ87" s="213" t="inlineStr">
        <is>
          <t>Truck</t>
        </is>
      </c>
      <c r="BA87" s="213" t="inlineStr">
        <is>
          <t>Truck</t>
        </is>
      </c>
      <c r="BB87" s="213" t="inlineStr">
        <is>
          <t>Truck</t>
        </is>
      </c>
      <c r="BC87" s="213" t="inlineStr">
        <is>
          <t>Truck</t>
        </is>
      </c>
      <c r="BD87" s="214" t="inlineStr">
        <is>
          <t>Truck</t>
        </is>
      </c>
      <c r="BE87" s="214" t="inlineStr">
        <is>
          <t>Truck</t>
        </is>
      </c>
      <c r="BF87" s="214" t="inlineStr">
        <is>
          <t>Truck</t>
        </is>
      </c>
      <c r="BG87" s="214" t="inlineStr">
        <is>
          <t>Truck</t>
        </is>
      </c>
      <c r="BH87" s="214" t="inlineStr">
        <is>
          <t>Truck</t>
        </is>
      </c>
      <c r="BI87" s="214" t="inlineStr">
        <is>
          <t>Truck</t>
        </is>
      </c>
      <c r="BJ87" s="214" t="inlineStr">
        <is>
          <t>Truck</t>
        </is>
      </c>
      <c r="BK87" s="214" t="inlineStr">
        <is>
          <t>Truck</t>
        </is>
      </c>
      <c r="BL87" s="214" t="inlineStr">
        <is>
          <t>Truck</t>
        </is>
      </c>
      <c r="BM87" s="214" t="inlineStr">
        <is>
          <t>Truck</t>
        </is>
      </c>
      <c r="BN87" s="214" t="inlineStr">
        <is>
          <t>Truck</t>
        </is>
      </c>
      <c r="BO87" s="214" t="inlineStr">
        <is>
          <t>Truck</t>
        </is>
      </c>
      <c r="BP87" s="214" t="inlineStr">
        <is>
          <t>Truck</t>
        </is>
      </c>
      <c r="BQ87" s="70" t="n"/>
      <c r="BR87" s="67" t="n"/>
    </row>
    <row r="88" ht="17" customHeight="1" s="165">
      <c r="A88" s="210" t="n"/>
      <c r="B88" s="152" t="inlineStr">
        <is>
          <t>Emission Factor (Auto)</t>
        </is>
      </c>
      <c r="C88" s="216">
        <f>VLOOKUP(C87,$Q$3:$R$6,2,0)</f>
        <v/>
      </c>
      <c r="D88" s="216">
        <f>VLOOKUP(D87,$Q$3:$R$6,2,0)</f>
        <v/>
      </c>
      <c r="E88" s="216">
        <f>VLOOKUP(E87,$Q$3:$R$6,2,0)</f>
        <v/>
      </c>
      <c r="F88" s="216">
        <f>VLOOKUP(F87,$Q$3:$R$6,2,0)</f>
        <v/>
      </c>
      <c r="G88" s="216">
        <f>VLOOKUP(G87,$Q$3:$R$6,2,0)</f>
        <v/>
      </c>
      <c r="H88" s="216">
        <f>VLOOKUP(H87,$Q$3:$R$6,2,0)</f>
        <v/>
      </c>
      <c r="I88" s="216">
        <f>VLOOKUP(I87,$Q$3:$R$6,2,0)</f>
        <v/>
      </c>
      <c r="J88" s="216">
        <f>VLOOKUP(J87,$Q$3:$R$6,2,0)</f>
        <v/>
      </c>
      <c r="K88" s="216">
        <f>VLOOKUP(K87,$Q$3:$R$6,2,0)</f>
        <v/>
      </c>
      <c r="L88" s="216">
        <f>VLOOKUP(L87,$Q$3:$R$6,2,0)</f>
        <v/>
      </c>
      <c r="M88" s="216">
        <f>VLOOKUP(M87,$Q$3:$R$6,2,0)</f>
        <v/>
      </c>
      <c r="N88" s="216">
        <f>VLOOKUP(N87,$Q$3:$R$6,2,0)</f>
        <v/>
      </c>
      <c r="O88" s="216">
        <f>VLOOKUP(O87,$Q$3:$R$6,2,0)</f>
        <v/>
      </c>
      <c r="P88" s="216">
        <f>VLOOKUP(P87,$Q$3:$R$6,2,0)</f>
        <v/>
      </c>
      <c r="Q88" s="216">
        <f>VLOOKUP(Q87,$Q$3:$R$6,2,0)</f>
        <v/>
      </c>
      <c r="R88" s="216">
        <f>VLOOKUP(R87,$Q$3:$R$6,2,0)</f>
        <v/>
      </c>
      <c r="S88" s="216">
        <f>VLOOKUP(S87,$Q$3:$R$6,2,0)</f>
        <v/>
      </c>
      <c r="T88" s="216">
        <f>VLOOKUP(T87,$Q$3:$R$6,2,0)</f>
        <v/>
      </c>
      <c r="U88" s="216">
        <f>VLOOKUP(U87,$Q$3:$R$6,2,0)</f>
        <v/>
      </c>
      <c r="V88" s="216">
        <f>VLOOKUP(V87,$Q$3:$R$6,2,0)</f>
        <v/>
      </c>
      <c r="W88" s="216">
        <f>VLOOKUP(W87,$Q$3:$R$6,2,0)</f>
        <v/>
      </c>
      <c r="X88" s="216">
        <f>VLOOKUP(X87,$Q$3:$R$6,2,0)</f>
        <v/>
      </c>
      <c r="Y88" s="216">
        <f>VLOOKUP(Y87,$Q$3:$R$6,2,0)</f>
        <v/>
      </c>
      <c r="Z88" s="216">
        <f>VLOOKUP(Z87,$Q$3:$R$6,2,0)</f>
        <v/>
      </c>
      <c r="AA88" s="216">
        <f>VLOOKUP(AA87,$Q$3:$R$6,2,0)</f>
        <v/>
      </c>
      <c r="AB88" s="216">
        <f>VLOOKUP(AB87,$Q$3:$R$6,2,0)</f>
        <v/>
      </c>
      <c r="AC88" s="216">
        <f>VLOOKUP(AC87,$Q$3:$R$6,2,0)</f>
        <v/>
      </c>
      <c r="AD88" s="216">
        <f>VLOOKUP(AD87,$Q$3:$R$6,2,0)</f>
        <v/>
      </c>
      <c r="AE88" s="216">
        <f>VLOOKUP(AE87,$Q$3:$R$6,2,0)</f>
        <v/>
      </c>
      <c r="AF88" s="216">
        <f>VLOOKUP(AF87,$Q$3:$R$6,2,0)</f>
        <v/>
      </c>
      <c r="AG88" s="216">
        <f>VLOOKUP(AG87,$Q$3:$R$6,2,0)</f>
        <v/>
      </c>
      <c r="AH88" s="216">
        <f>VLOOKUP(AH87,$Q$3:$R$6,2,0)</f>
        <v/>
      </c>
      <c r="AI88" s="216">
        <f>VLOOKUP(AI87,$Q$3:$R$6,2,0)</f>
        <v/>
      </c>
      <c r="AJ88" s="216">
        <f>VLOOKUP(AJ87,$Q$3:$R$6,2,0)</f>
        <v/>
      </c>
      <c r="AK88" s="216">
        <f>VLOOKUP(AK87,$Q$3:$R$6,2,0)</f>
        <v/>
      </c>
      <c r="AL88" s="216">
        <f>VLOOKUP(AL87,$Q$3:$R$6,2,0)</f>
        <v/>
      </c>
      <c r="AM88" s="216">
        <f>VLOOKUP(AM87,$Q$3:$R$6,2,0)</f>
        <v/>
      </c>
      <c r="AN88" s="216">
        <f>VLOOKUP(AN87,$Q$3:$R$6,2,0)</f>
        <v/>
      </c>
      <c r="AO88" s="216">
        <f>VLOOKUP(AO87,$Q$3:$R$6,2,0)</f>
        <v/>
      </c>
      <c r="AP88" s="216">
        <f>VLOOKUP(AP87,$Q$3:$R$6,2,0)</f>
        <v/>
      </c>
      <c r="AQ88" s="216">
        <f>VLOOKUP(AQ87,$Q$3:$R$6,2,0)</f>
        <v/>
      </c>
      <c r="AR88" s="216">
        <f>VLOOKUP(AR87,$Q$3:$R$6,2,0)</f>
        <v/>
      </c>
      <c r="AS88" s="216">
        <f>VLOOKUP(AS87,$Q$3:$R$6,2,0)</f>
        <v/>
      </c>
      <c r="AT88" s="216">
        <f>VLOOKUP(AT87,$Q$3:$R$6,2,0)</f>
        <v/>
      </c>
      <c r="AU88" s="216">
        <f>VLOOKUP(AU87,$Q$3:$R$6,2,0)</f>
        <v/>
      </c>
      <c r="AV88" s="216">
        <f>VLOOKUP(AV87,$Q$3:$R$6,2,0)</f>
        <v/>
      </c>
      <c r="AW88" s="216">
        <f>VLOOKUP(AW87,$Q$3:$R$6,2,0)</f>
        <v/>
      </c>
      <c r="AX88" s="216">
        <f>VLOOKUP(AX87,$Q$3:$R$6,2,0)</f>
        <v/>
      </c>
      <c r="AY88" s="216">
        <f>VLOOKUP(AY87,$Q$3:$R$6,2,0)</f>
        <v/>
      </c>
      <c r="AZ88" s="216">
        <f>VLOOKUP(AZ87,$Q$3:$R$6,2,0)</f>
        <v/>
      </c>
      <c r="BA88" s="216">
        <f>VLOOKUP(BA87,$Q$3:$R$6,2,0)</f>
        <v/>
      </c>
      <c r="BB88" s="216">
        <f>VLOOKUP(BB87,$Q$3:$R$6,2,0)</f>
        <v/>
      </c>
      <c r="BC88" s="216">
        <f>VLOOKUP(BC87,$Q$3:$R$6,2,0)</f>
        <v/>
      </c>
      <c r="BD88" s="217">
        <f>VLOOKUP(BD87,$Q$3:$R$6,2,0)</f>
        <v/>
      </c>
      <c r="BE88" s="217">
        <f>VLOOKUP(BE87,$Q$3:$R$6,2,0)</f>
        <v/>
      </c>
      <c r="BF88" s="217">
        <f>VLOOKUP(BF87,$Q$3:$R$6,2,0)</f>
        <v/>
      </c>
      <c r="BG88" s="217">
        <f>VLOOKUP(BG87,$Q$3:$R$6,2,0)</f>
        <v/>
      </c>
      <c r="BH88" s="217">
        <f>VLOOKUP(BH87,$Q$3:$R$6,2,0)</f>
        <v/>
      </c>
      <c r="BI88" s="217">
        <f>VLOOKUP(BI87,$Q$3:$R$6,2,0)</f>
        <v/>
      </c>
      <c r="BJ88" s="217">
        <f>VLOOKUP(BJ87,$Q$3:$R$6,2,0)</f>
        <v/>
      </c>
      <c r="BK88" s="217">
        <f>VLOOKUP(BK87,$Q$3:$R$6,2,0)</f>
        <v/>
      </c>
      <c r="BL88" s="217">
        <f>VLOOKUP(BL87,$Q$3:$R$6,2,0)</f>
        <v/>
      </c>
      <c r="BM88" s="217">
        <f>VLOOKUP(BM87,$Q$3:$R$6,2,0)</f>
        <v/>
      </c>
      <c r="BN88" s="217">
        <f>VLOOKUP(BN87,$Q$3:$R$6,2,0)</f>
        <v/>
      </c>
      <c r="BO88" s="217">
        <f>VLOOKUP(BO87,$Q$3:$R$6,2,0)</f>
        <v/>
      </c>
      <c r="BP88" s="217">
        <f>VLOOKUP(BP87,$Q$3:$R$6,2,0)</f>
        <v/>
      </c>
      <c r="BQ88" s="234" t="n"/>
      <c r="BR88" s="67" t="n"/>
    </row>
    <row r="89" ht="17" customHeight="1" s="165">
      <c r="A89" s="210" t="n"/>
      <c r="B89" s="57" t="inlineStr">
        <is>
          <t>Annual Travel Distance (km)</t>
        </is>
      </c>
      <c r="C89" s="235" t="n"/>
      <c r="D89" s="235" t="n">
        <v>28488</v>
      </c>
      <c r="E89" s="235" t="n"/>
      <c r="F89" s="235" t="n"/>
      <c r="G89" s="235" t="n">
        <v>1864</v>
      </c>
      <c r="H89" s="235" t="n"/>
      <c r="I89" s="235" t="n"/>
      <c r="J89" s="235" t="n"/>
      <c r="K89" s="235" t="n"/>
      <c r="L89" s="235" t="n"/>
      <c r="M89" s="235" t="n"/>
      <c r="N89" s="235" t="n"/>
      <c r="O89" s="235" t="n"/>
      <c r="P89" s="235" t="n"/>
      <c r="Q89" s="235" t="n"/>
      <c r="R89" s="235" t="n"/>
      <c r="S89" s="235" t="n"/>
      <c r="T89" s="235" t="n"/>
      <c r="U89" s="235" t="n"/>
      <c r="V89" s="235" t="n"/>
      <c r="W89" s="235" t="n"/>
      <c r="X89" s="235" t="n"/>
      <c r="Y89" s="235" t="n"/>
      <c r="Z89" s="235" t="n"/>
      <c r="AA89" s="235" t="n"/>
      <c r="AB89" s="235" t="n"/>
      <c r="AC89" s="235" t="n"/>
      <c r="AD89" s="235" t="n"/>
      <c r="AE89" s="235" t="n"/>
      <c r="AF89" s="235" t="n"/>
      <c r="AG89" s="235" t="n"/>
      <c r="AH89" s="235" t="n"/>
      <c r="AI89" s="235" t="n"/>
      <c r="AJ89" s="235" t="n"/>
      <c r="AK89" s="235" t="n"/>
      <c r="AL89" s="235" t="n"/>
      <c r="AM89" s="235" t="n"/>
      <c r="AN89" s="235" t="n"/>
      <c r="AO89" s="235" t="n"/>
      <c r="AP89" s="235" t="n"/>
      <c r="AQ89" s="235" t="n"/>
      <c r="AR89" s="235" t="n"/>
      <c r="AS89" s="235" t="n"/>
      <c r="AT89" s="235" t="n"/>
      <c r="AU89" s="235" t="n"/>
      <c r="AV89" s="235" t="n"/>
      <c r="AW89" s="235" t="n"/>
      <c r="AX89" s="235" t="n"/>
      <c r="AY89" s="235" t="n"/>
      <c r="AZ89" s="235" t="n"/>
      <c r="BA89" s="235" t="n"/>
      <c r="BB89" s="235" t="n"/>
      <c r="BC89" s="235" t="n"/>
      <c r="BD89" s="236" t="n"/>
      <c r="BE89" s="236" t="n"/>
      <c r="BF89" s="236" t="n"/>
      <c r="BG89" s="236" t="n"/>
      <c r="BH89" s="236" t="n"/>
      <c r="BI89" s="236" t="n"/>
      <c r="BJ89" s="236" t="n"/>
      <c r="BK89" s="236" t="n"/>
      <c r="BL89" s="236" t="n"/>
      <c r="BM89" s="236" t="n"/>
      <c r="BN89" s="236" t="n"/>
      <c r="BO89" s="236" t="n">
        <v>1900</v>
      </c>
      <c r="BP89" s="236" t="n"/>
      <c r="BQ89" s="234" t="n"/>
      <c r="BR89" s="67" t="n"/>
    </row>
    <row r="90" ht="18.5" customHeight="1" s="165">
      <c r="A90" s="192" t="n"/>
      <c r="B90" s="77" t="inlineStr">
        <is>
          <t>Total Sold Weight (kg)</t>
        </is>
      </c>
      <c r="C90" s="78" t="n"/>
      <c r="D90" s="78" t="n">
        <v>3070147</v>
      </c>
      <c r="E90" s="78" t="n"/>
      <c r="F90" s="78" t="n"/>
      <c r="G90" s="78" t="n">
        <v>152735</v>
      </c>
      <c r="H90" s="78" t="n"/>
      <c r="I90" s="78" t="n"/>
      <c r="J90" s="78" t="n"/>
      <c r="K90" s="78" t="n"/>
      <c r="L90" s="78" t="n"/>
      <c r="M90" s="78" t="n"/>
      <c r="N90" s="78" t="n"/>
      <c r="O90" s="78" t="n"/>
      <c r="P90" s="78" t="n"/>
      <c r="Q90" s="78" t="n"/>
      <c r="R90" s="78" t="n"/>
      <c r="S90" s="78" t="n"/>
      <c r="T90" s="78" t="n"/>
      <c r="U90" s="78" t="n"/>
      <c r="V90" s="78" t="n"/>
      <c r="W90" s="78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8" t="n"/>
      <c r="AK90" s="78" t="n"/>
      <c r="AL90" s="78" t="n"/>
      <c r="AM90" s="78" t="n"/>
      <c r="AN90" s="78" t="n"/>
      <c r="AO90" s="78" t="n"/>
      <c r="AP90" s="78" t="n"/>
      <c r="AQ90" s="78" t="n"/>
      <c r="AR90" s="78" t="n"/>
      <c r="AS90" s="78" t="n"/>
      <c r="AT90" s="78" t="n"/>
      <c r="AU90" s="78" t="n"/>
      <c r="AV90" s="78" t="n"/>
      <c r="AW90" s="78" t="n"/>
      <c r="AX90" s="78" t="n"/>
      <c r="AY90" s="78" t="n"/>
      <c r="AZ90" s="78" t="n"/>
      <c r="BA90" s="78" t="n"/>
      <c r="BB90" s="78" t="n"/>
      <c r="BC90" s="78" t="n"/>
      <c r="BD90" s="79" t="n"/>
      <c r="BE90" s="79" t="n"/>
      <c r="BF90" s="79" t="n"/>
      <c r="BG90" s="79" t="n"/>
      <c r="BH90" s="79" t="n"/>
      <c r="BI90" s="79" t="n"/>
      <c r="BJ90" s="79" t="n"/>
      <c r="BK90" s="79" t="n"/>
      <c r="BL90" s="79" t="n"/>
      <c r="BM90" s="79" t="n"/>
      <c r="BN90" s="79" t="n"/>
      <c r="BO90" s="79" t="n">
        <v>32234</v>
      </c>
      <c r="BP90" s="79" t="n"/>
      <c r="BQ90" s="198">
        <f t="array" ref="BQ90">SUMPRODUCT(C88:BP88,C89:BP89,C90:BP90/1000)</f>
        <v/>
      </c>
      <c r="BR90" s="199">
        <f>BQ90/1000</f>
        <v/>
      </c>
    </row>
    <row r="91" ht="18.5" customHeight="1" s="165">
      <c r="A91" s="152" t="inlineStr">
        <is>
          <t>Indiana</t>
        </is>
      </c>
      <c r="B91" s="56" t="inlineStr">
        <is>
          <t>Transport Mode</t>
        </is>
      </c>
      <c r="C91" s="213" t="inlineStr">
        <is>
          <t>Rail</t>
        </is>
      </c>
      <c r="D91" s="213" t="inlineStr">
        <is>
          <t>Truck</t>
        </is>
      </c>
      <c r="E91" s="213" t="inlineStr">
        <is>
          <t>Truck</t>
        </is>
      </c>
      <c r="F91" s="213" t="inlineStr">
        <is>
          <t>Air</t>
        </is>
      </c>
      <c r="G91" s="213" t="inlineStr">
        <is>
          <t>Truck</t>
        </is>
      </c>
      <c r="H91" s="213" t="inlineStr">
        <is>
          <t>Truck</t>
        </is>
      </c>
      <c r="I91" s="213" t="inlineStr">
        <is>
          <t>Truck</t>
        </is>
      </c>
      <c r="J91" s="213" t="inlineStr">
        <is>
          <t>Truck</t>
        </is>
      </c>
      <c r="K91" s="213" t="inlineStr">
        <is>
          <t>Truck</t>
        </is>
      </c>
      <c r="L91" s="213" t="inlineStr">
        <is>
          <t>Ocean Vessel</t>
        </is>
      </c>
      <c r="M91" s="213" t="inlineStr">
        <is>
          <t>Truck</t>
        </is>
      </c>
      <c r="N91" s="213" t="inlineStr">
        <is>
          <t>Truck</t>
        </is>
      </c>
      <c r="O91" s="213" t="inlineStr">
        <is>
          <t>Truck</t>
        </is>
      </c>
      <c r="P91" s="213" t="inlineStr">
        <is>
          <t>Truck</t>
        </is>
      </c>
      <c r="Q91" s="213" t="inlineStr">
        <is>
          <t>Truck</t>
        </is>
      </c>
      <c r="R91" s="213" t="inlineStr">
        <is>
          <t>Truck</t>
        </is>
      </c>
      <c r="S91" s="213" t="inlineStr">
        <is>
          <t>Truck</t>
        </is>
      </c>
      <c r="T91" s="213" t="inlineStr">
        <is>
          <t>Truck</t>
        </is>
      </c>
      <c r="U91" s="213" t="inlineStr">
        <is>
          <t>Truck</t>
        </is>
      </c>
      <c r="V91" s="213" t="inlineStr">
        <is>
          <t>Truck</t>
        </is>
      </c>
      <c r="W91" s="213" t="inlineStr">
        <is>
          <t>Truck</t>
        </is>
      </c>
      <c r="X91" s="213" t="inlineStr">
        <is>
          <t>Truck</t>
        </is>
      </c>
      <c r="Y91" s="213" t="inlineStr">
        <is>
          <t>Truck</t>
        </is>
      </c>
      <c r="Z91" s="213" t="inlineStr">
        <is>
          <t>Truck</t>
        </is>
      </c>
      <c r="AA91" s="213" t="inlineStr">
        <is>
          <t>Truck</t>
        </is>
      </c>
      <c r="AB91" s="213" t="inlineStr">
        <is>
          <t>Truck</t>
        </is>
      </c>
      <c r="AC91" s="213" t="inlineStr">
        <is>
          <t>Truck</t>
        </is>
      </c>
      <c r="AD91" s="213" t="inlineStr">
        <is>
          <t>Truck</t>
        </is>
      </c>
      <c r="AE91" s="213" t="inlineStr">
        <is>
          <t>Truck</t>
        </is>
      </c>
      <c r="AF91" s="213" t="inlineStr">
        <is>
          <t>Truck</t>
        </is>
      </c>
      <c r="AG91" s="213" t="inlineStr">
        <is>
          <t>Truck</t>
        </is>
      </c>
      <c r="AH91" s="213" t="inlineStr">
        <is>
          <t>Truck</t>
        </is>
      </c>
      <c r="AI91" s="213" t="inlineStr">
        <is>
          <t>Truck</t>
        </is>
      </c>
      <c r="AJ91" s="213" t="inlineStr">
        <is>
          <t>Truck</t>
        </is>
      </c>
      <c r="AK91" s="213" t="inlineStr">
        <is>
          <t>Truck</t>
        </is>
      </c>
      <c r="AL91" s="213" t="inlineStr">
        <is>
          <t>Truck</t>
        </is>
      </c>
      <c r="AM91" s="213" t="inlineStr">
        <is>
          <t>Truck</t>
        </is>
      </c>
      <c r="AN91" s="213" t="inlineStr">
        <is>
          <t>Truck</t>
        </is>
      </c>
      <c r="AO91" s="213" t="inlineStr">
        <is>
          <t>Truck</t>
        </is>
      </c>
      <c r="AP91" s="213" t="inlineStr">
        <is>
          <t>Truck</t>
        </is>
      </c>
      <c r="AQ91" s="213" t="inlineStr">
        <is>
          <t>Truck</t>
        </is>
      </c>
      <c r="AR91" s="213" t="inlineStr">
        <is>
          <t>Truck</t>
        </is>
      </c>
      <c r="AS91" s="213" t="inlineStr">
        <is>
          <t>Truck</t>
        </is>
      </c>
      <c r="AT91" s="213" t="inlineStr">
        <is>
          <t>Truck</t>
        </is>
      </c>
      <c r="AU91" s="213" t="inlineStr">
        <is>
          <t>Truck</t>
        </is>
      </c>
      <c r="AV91" s="213" t="inlineStr">
        <is>
          <t>Truck</t>
        </is>
      </c>
      <c r="AW91" s="213" t="inlineStr">
        <is>
          <t>Truck</t>
        </is>
      </c>
      <c r="AX91" s="213" t="inlineStr">
        <is>
          <t>Truck</t>
        </is>
      </c>
      <c r="AY91" s="213" t="inlineStr">
        <is>
          <t>Truck</t>
        </is>
      </c>
      <c r="AZ91" s="213" t="inlineStr">
        <is>
          <t>Truck</t>
        </is>
      </c>
      <c r="BA91" s="213" t="inlineStr">
        <is>
          <t>Truck</t>
        </is>
      </c>
      <c r="BB91" s="213" t="inlineStr">
        <is>
          <t>Truck</t>
        </is>
      </c>
      <c r="BC91" s="213" t="inlineStr">
        <is>
          <t>Truck</t>
        </is>
      </c>
      <c r="BD91" s="214" t="inlineStr">
        <is>
          <t>Truck</t>
        </is>
      </c>
      <c r="BE91" s="214" t="inlineStr">
        <is>
          <t>Truck</t>
        </is>
      </c>
      <c r="BF91" s="214" t="inlineStr">
        <is>
          <t>Truck</t>
        </is>
      </c>
      <c r="BG91" s="214" t="inlineStr">
        <is>
          <t>Truck</t>
        </is>
      </c>
      <c r="BH91" s="214" t="inlineStr">
        <is>
          <t>Truck</t>
        </is>
      </c>
      <c r="BI91" s="214" t="inlineStr">
        <is>
          <t>Truck</t>
        </is>
      </c>
      <c r="BJ91" s="214" t="inlineStr">
        <is>
          <t>Truck</t>
        </is>
      </c>
      <c r="BK91" s="214" t="inlineStr">
        <is>
          <t>Truck</t>
        </is>
      </c>
      <c r="BL91" s="214" t="inlineStr">
        <is>
          <t>Truck</t>
        </is>
      </c>
      <c r="BM91" s="214" t="inlineStr">
        <is>
          <t>Truck</t>
        </is>
      </c>
      <c r="BN91" s="214" t="inlineStr">
        <is>
          <t>Truck</t>
        </is>
      </c>
      <c r="BO91" s="214" t="inlineStr">
        <is>
          <t>Truck</t>
        </is>
      </c>
      <c r="BP91" s="214" t="inlineStr">
        <is>
          <t>Truck</t>
        </is>
      </c>
      <c r="BQ91" s="70" t="n"/>
      <c r="BR91" s="67" t="n"/>
    </row>
    <row r="92" ht="17" customHeight="1" s="165">
      <c r="A92" s="210" t="n"/>
      <c r="B92" s="152" t="inlineStr">
        <is>
          <t>Emission Factor (Auto)</t>
        </is>
      </c>
      <c r="C92" s="216">
        <f>VLOOKUP(C91,$Q$3:$R$6,2,0)</f>
        <v/>
      </c>
      <c r="D92" s="216">
        <f>VLOOKUP(D91,$Q$3:$R$6,2,0)</f>
        <v/>
      </c>
      <c r="E92" s="216">
        <f>VLOOKUP(E91,$Q$3:$R$6,2,0)</f>
        <v/>
      </c>
      <c r="F92" s="216">
        <f>VLOOKUP(F91,$Q$3:$R$6,2,0)</f>
        <v/>
      </c>
      <c r="G92" s="216">
        <f>VLOOKUP(G91,$Q$3:$R$6,2,0)</f>
        <v/>
      </c>
      <c r="H92" s="216">
        <f>VLOOKUP(H91,$Q$3:$R$6,2,0)</f>
        <v/>
      </c>
      <c r="I92" s="216">
        <f>VLOOKUP(I91,$Q$3:$R$6,2,0)</f>
        <v/>
      </c>
      <c r="J92" s="216">
        <f>VLOOKUP(J91,$Q$3:$R$6,2,0)</f>
        <v/>
      </c>
      <c r="K92" s="216">
        <f>VLOOKUP(K91,$Q$3:$R$6,2,0)</f>
        <v/>
      </c>
      <c r="L92" s="216">
        <f>VLOOKUP(L91,$Q$3:$R$6,2,0)</f>
        <v/>
      </c>
      <c r="M92" s="216">
        <f>VLOOKUP(M91,$Q$3:$R$6,2,0)</f>
        <v/>
      </c>
      <c r="N92" s="216">
        <f>VLOOKUP(N91,$Q$3:$R$6,2,0)</f>
        <v/>
      </c>
      <c r="O92" s="216">
        <f>VLOOKUP(O91,$Q$3:$R$6,2,0)</f>
        <v/>
      </c>
      <c r="P92" s="216">
        <f>VLOOKUP(P91,$Q$3:$R$6,2,0)</f>
        <v/>
      </c>
      <c r="Q92" s="216">
        <f>VLOOKUP(Q91,$Q$3:$R$6,2,0)</f>
        <v/>
      </c>
      <c r="R92" s="216">
        <f>VLOOKUP(R91,$Q$3:$R$6,2,0)</f>
        <v/>
      </c>
      <c r="S92" s="216">
        <f>VLOOKUP(S91,$Q$3:$R$6,2,0)</f>
        <v/>
      </c>
      <c r="T92" s="216">
        <f>VLOOKUP(T91,$Q$3:$R$6,2,0)</f>
        <v/>
      </c>
      <c r="U92" s="216">
        <f>VLOOKUP(U91,$Q$3:$R$6,2,0)</f>
        <v/>
      </c>
      <c r="V92" s="216">
        <f>VLOOKUP(V91,$Q$3:$R$6,2,0)</f>
        <v/>
      </c>
      <c r="W92" s="216">
        <f>VLOOKUP(W91,$Q$3:$R$6,2,0)</f>
        <v/>
      </c>
      <c r="X92" s="216">
        <f>VLOOKUP(X91,$Q$3:$R$6,2,0)</f>
        <v/>
      </c>
      <c r="Y92" s="216">
        <f>VLOOKUP(Y91,$Q$3:$R$6,2,0)</f>
        <v/>
      </c>
      <c r="Z92" s="216">
        <f>VLOOKUP(Z91,$Q$3:$R$6,2,0)</f>
        <v/>
      </c>
      <c r="AA92" s="216">
        <f>VLOOKUP(AA91,$Q$3:$R$6,2,0)</f>
        <v/>
      </c>
      <c r="AB92" s="216">
        <f>VLOOKUP(AB91,$Q$3:$R$6,2,0)</f>
        <v/>
      </c>
      <c r="AC92" s="216">
        <f>VLOOKUP(AC91,$Q$3:$R$6,2,0)</f>
        <v/>
      </c>
      <c r="AD92" s="216">
        <f>VLOOKUP(AD91,$Q$3:$R$6,2,0)</f>
        <v/>
      </c>
      <c r="AE92" s="216">
        <f>VLOOKUP(AE91,$Q$3:$R$6,2,0)</f>
        <v/>
      </c>
      <c r="AF92" s="216">
        <f>VLOOKUP(AF91,$Q$3:$R$6,2,0)</f>
        <v/>
      </c>
      <c r="AG92" s="216">
        <f>VLOOKUP(AG91,$Q$3:$R$6,2,0)</f>
        <v/>
      </c>
      <c r="AH92" s="216">
        <f>VLOOKUP(AH91,$Q$3:$R$6,2,0)</f>
        <v/>
      </c>
      <c r="AI92" s="216">
        <f>VLOOKUP(AI91,$Q$3:$R$6,2,0)</f>
        <v/>
      </c>
      <c r="AJ92" s="216">
        <f>VLOOKUP(AJ91,$Q$3:$R$6,2,0)</f>
        <v/>
      </c>
      <c r="AK92" s="216">
        <f>VLOOKUP(AK91,$Q$3:$R$6,2,0)</f>
        <v/>
      </c>
      <c r="AL92" s="216">
        <f>VLOOKUP(AL91,$Q$3:$R$6,2,0)</f>
        <v/>
      </c>
      <c r="AM92" s="216">
        <f>VLOOKUP(AM91,$Q$3:$R$6,2,0)</f>
        <v/>
      </c>
      <c r="AN92" s="216">
        <f>VLOOKUP(AN91,$Q$3:$R$6,2,0)</f>
        <v/>
      </c>
      <c r="AO92" s="216">
        <f>VLOOKUP(AO91,$Q$3:$R$6,2,0)</f>
        <v/>
      </c>
      <c r="AP92" s="216">
        <f>VLOOKUP(AP91,$Q$3:$R$6,2,0)</f>
        <v/>
      </c>
      <c r="AQ92" s="216">
        <f>VLOOKUP(AQ91,$Q$3:$R$6,2,0)</f>
        <v/>
      </c>
      <c r="AR92" s="216">
        <f>VLOOKUP(AR91,$Q$3:$R$6,2,0)</f>
        <v/>
      </c>
      <c r="AS92" s="216">
        <f>VLOOKUP(AS91,$Q$3:$R$6,2,0)</f>
        <v/>
      </c>
      <c r="AT92" s="216">
        <f>VLOOKUP(AT91,$Q$3:$R$6,2,0)</f>
        <v/>
      </c>
      <c r="AU92" s="216">
        <f>VLOOKUP(AU91,$Q$3:$R$6,2,0)</f>
        <v/>
      </c>
      <c r="AV92" s="216">
        <f>VLOOKUP(AV91,$Q$3:$R$6,2,0)</f>
        <v/>
      </c>
      <c r="AW92" s="216">
        <f>VLOOKUP(AW91,$Q$3:$R$6,2,0)</f>
        <v/>
      </c>
      <c r="AX92" s="216">
        <f>VLOOKUP(AX91,$Q$3:$R$6,2,0)</f>
        <v/>
      </c>
      <c r="AY92" s="216">
        <f>VLOOKUP(AY91,$Q$3:$R$6,2,0)</f>
        <v/>
      </c>
      <c r="AZ92" s="216">
        <f>VLOOKUP(AZ91,$Q$3:$R$6,2,0)</f>
        <v/>
      </c>
      <c r="BA92" s="216">
        <f>VLOOKUP(BA91,$Q$3:$R$6,2,0)</f>
        <v/>
      </c>
      <c r="BB92" s="216">
        <f>VLOOKUP(BB91,$Q$3:$R$6,2,0)</f>
        <v/>
      </c>
      <c r="BC92" s="216">
        <f>VLOOKUP(BC91,$Q$3:$R$6,2,0)</f>
        <v/>
      </c>
      <c r="BD92" s="217">
        <f>VLOOKUP(BD91,$Q$3:$R$6,2,0)</f>
        <v/>
      </c>
      <c r="BE92" s="217">
        <f>VLOOKUP(BE91,$Q$3:$R$6,2,0)</f>
        <v/>
      </c>
      <c r="BF92" s="217">
        <f>VLOOKUP(BF91,$Q$3:$R$6,2,0)</f>
        <v/>
      </c>
      <c r="BG92" s="217">
        <f>VLOOKUP(BG91,$Q$3:$R$6,2,0)</f>
        <v/>
      </c>
      <c r="BH92" s="217">
        <f>VLOOKUP(BH91,$Q$3:$R$6,2,0)</f>
        <v/>
      </c>
      <c r="BI92" s="217">
        <f>VLOOKUP(BI91,$Q$3:$R$6,2,0)</f>
        <v/>
      </c>
      <c r="BJ92" s="217">
        <f>VLOOKUP(BJ91,$Q$3:$R$6,2,0)</f>
        <v/>
      </c>
      <c r="BK92" s="217">
        <f>VLOOKUP(BK91,$Q$3:$R$6,2,0)</f>
        <v/>
      </c>
      <c r="BL92" s="217">
        <f>VLOOKUP(BL91,$Q$3:$R$6,2,0)</f>
        <v/>
      </c>
      <c r="BM92" s="217">
        <f>VLOOKUP(BM91,$Q$3:$R$6,2,0)</f>
        <v/>
      </c>
      <c r="BN92" s="217">
        <f>VLOOKUP(BN91,$Q$3:$R$6,2,0)</f>
        <v/>
      </c>
      <c r="BO92" s="217">
        <f>VLOOKUP(BO91,$Q$3:$R$6,2,0)</f>
        <v/>
      </c>
      <c r="BP92" s="217">
        <f>VLOOKUP(BP91,$Q$3:$R$6,2,0)</f>
        <v/>
      </c>
      <c r="BQ92" s="234" t="n"/>
      <c r="BR92" s="67" t="n"/>
    </row>
    <row r="93" ht="17" customHeight="1" s="165">
      <c r="A93" s="210" t="n"/>
      <c r="B93" s="57" t="inlineStr">
        <is>
          <t>Annual Travel Distance (km)</t>
        </is>
      </c>
      <c r="C93" s="235" t="n"/>
      <c r="D93" s="235" t="n">
        <v>76050</v>
      </c>
      <c r="E93" s="235" t="n">
        <v>238542</v>
      </c>
      <c r="F93" s="235" t="n"/>
      <c r="G93" s="235" t="n"/>
      <c r="H93" s="235" t="n"/>
      <c r="I93" s="235" t="n"/>
      <c r="J93" s="235" t="n">
        <v>46224</v>
      </c>
      <c r="K93" s="235" t="n"/>
      <c r="L93" s="235" t="n"/>
      <c r="M93" s="235" t="n"/>
      <c r="N93" s="235" t="n">
        <v>49138.5</v>
      </c>
      <c r="O93" s="235" t="n">
        <v>44226</v>
      </c>
      <c r="P93" s="235" t="n"/>
      <c r="Q93" s="235" t="n"/>
      <c r="R93" s="235" t="n"/>
      <c r="S93" s="235" t="n"/>
      <c r="T93" s="235" t="n"/>
      <c r="U93" s="235" t="n"/>
      <c r="V93" s="235" t="n"/>
      <c r="W93" s="235" t="n"/>
      <c r="X93" s="235" t="n"/>
      <c r="Y93" s="235" t="n"/>
      <c r="Z93" s="235" t="n"/>
      <c r="AA93" s="235" t="n"/>
      <c r="AB93" s="235" t="n"/>
      <c r="AC93" s="235" t="n"/>
      <c r="AD93" s="235" t="n"/>
      <c r="AE93" s="235" t="n"/>
      <c r="AF93" s="235" t="n"/>
      <c r="AG93" s="235" t="n"/>
      <c r="AH93" s="235" t="n"/>
      <c r="AI93" s="235" t="n"/>
      <c r="AJ93" s="235" t="n"/>
      <c r="AK93" s="235" t="n"/>
      <c r="AL93" s="235" t="n"/>
      <c r="AM93" s="235" t="n"/>
      <c r="AN93" s="235" t="n"/>
      <c r="AO93" s="235" t="n"/>
      <c r="AP93" s="235" t="n"/>
      <c r="AQ93" s="235" t="n"/>
      <c r="AR93" s="235" t="n"/>
      <c r="AS93" s="235" t="n"/>
      <c r="AT93" s="235" t="n"/>
      <c r="AU93" s="235" t="n"/>
      <c r="AV93" s="235" t="n"/>
      <c r="AW93" s="235" t="n"/>
      <c r="AX93" s="235" t="n"/>
      <c r="AY93" s="235" t="n"/>
      <c r="AZ93" s="235" t="n"/>
      <c r="BA93" s="235" t="n"/>
      <c r="BB93" s="235" t="n"/>
      <c r="BC93" s="235" t="n"/>
      <c r="BD93" s="236" t="n"/>
      <c r="BE93" s="236" t="n"/>
      <c r="BF93" s="236" t="n"/>
      <c r="BG93" s="236" t="n"/>
      <c r="BH93" s="236" t="n"/>
      <c r="BI93" s="236" t="n"/>
      <c r="BJ93" s="236" t="n"/>
      <c r="BK93" s="236" t="n"/>
      <c r="BL93" s="236" t="n"/>
      <c r="BM93" s="236" t="n"/>
      <c r="BN93" s="236" t="n"/>
      <c r="BO93" s="236" t="n">
        <v>28964</v>
      </c>
      <c r="BP93" s="236" t="n"/>
      <c r="BQ93" s="234" t="n"/>
      <c r="BR93" s="67" t="n"/>
    </row>
    <row r="94" ht="18.5" customHeight="1" s="165">
      <c r="A94" s="192" t="n"/>
      <c r="B94" s="77" t="inlineStr">
        <is>
          <t>Total Sold Weight (kg)</t>
        </is>
      </c>
      <c r="C94" s="78" t="n"/>
      <c r="D94" s="78" t="n">
        <v>1209509.5602</v>
      </c>
      <c r="E94" s="78" t="n">
        <v>309809.3061999999</v>
      </c>
      <c r="F94" s="78" t="n"/>
      <c r="G94" s="78" t="n"/>
      <c r="H94" s="78" t="n"/>
      <c r="I94" s="78" t="n"/>
      <c r="J94" s="78" t="n">
        <v>71923.056</v>
      </c>
      <c r="K94" s="78" t="n"/>
      <c r="L94" s="78" t="n"/>
      <c r="M94" s="78" t="n"/>
      <c r="N94" s="78" t="n">
        <v>4730906.300500001</v>
      </c>
      <c r="O94" s="78" t="n">
        <v>150983.156</v>
      </c>
      <c r="P94" s="78" t="n"/>
      <c r="Q94" s="78" t="n"/>
      <c r="R94" s="78" t="n"/>
      <c r="S94" s="78" t="n"/>
      <c r="T94" s="78" t="n"/>
      <c r="U94" s="78" t="n"/>
      <c r="V94" s="78" t="n"/>
      <c r="W94" s="78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8" t="n"/>
      <c r="AK94" s="78" t="n"/>
      <c r="AL94" s="78" t="n"/>
      <c r="AM94" s="78" t="n"/>
      <c r="AN94" s="78" t="n"/>
      <c r="AO94" s="78" t="n"/>
      <c r="AP94" s="78" t="n"/>
      <c r="AQ94" s="78" t="n"/>
      <c r="AR94" s="78" t="n"/>
      <c r="AS94" s="78" t="n"/>
      <c r="AT94" s="78" t="n"/>
      <c r="AU94" s="78" t="n"/>
      <c r="AV94" s="78" t="n"/>
      <c r="AW94" s="78" t="n"/>
      <c r="AX94" s="78" t="n"/>
      <c r="AY94" s="78" t="n"/>
      <c r="AZ94" s="78" t="n"/>
      <c r="BA94" s="78" t="n"/>
      <c r="BB94" s="78" t="n"/>
      <c r="BC94" s="78" t="n"/>
      <c r="BD94" s="79" t="n"/>
      <c r="BE94" s="79" t="n"/>
      <c r="BF94" s="79" t="n"/>
      <c r="BG94" s="79" t="n"/>
      <c r="BH94" s="79" t="n"/>
      <c r="BI94" s="79" t="n"/>
      <c r="BJ94" s="79" t="n"/>
      <c r="BK94" s="79" t="n"/>
      <c r="BL94" s="79" t="n"/>
      <c r="BM94" s="79" t="n"/>
      <c r="BN94" s="79" t="n"/>
      <c r="BO94" s="79" t="n">
        <v>84706.17999999999</v>
      </c>
      <c r="BP94" s="79" t="n"/>
      <c r="BQ94" s="198">
        <f t="array" ref="BQ94">SUMPRODUCT(C92:BP92,C93:BP93,C94:BP94/1000)</f>
        <v/>
      </c>
      <c r="BR94" s="199">
        <f>BQ94/1000</f>
        <v/>
      </c>
    </row>
    <row r="95" ht="18.5" customHeight="1" s="165">
      <c r="A95" s="152" t="inlineStr">
        <is>
          <t>Alabama</t>
        </is>
      </c>
      <c r="B95" s="56" t="inlineStr">
        <is>
          <t>Transport Mode</t>
        </is>
      </c>
      <c r="C95" s="213" t="inlineStr">
        <is>
          <t>Rail</t>
        </is>
      </c>
      <c r="D95" s="213" t="inlineStr">
        <is>
          <t>Truck</t>
        </is>
      </c>
      <c r="E95" s="213" t="inlineStr">
        <is>
          <t>Truck</t>
        </is>
      </c>
      <c r="F95" s="213" t="inlineStr">
        <is>
          <t>Truck</t>
        </is>
      </c>
      <c r="G95" s="213" t="inlineStr">
        <is>
          <t>Truck</t>
        </is>
      </c>
      <c r="H95" s="213" t="inlineStr">
        <is>
          <t>Truck</t>
        </is>
      </c>
      <c r="I95" s="213" t="inlineStr">
        <is>
          <t>Truck</t>
        </is>
      </c>
      <c r="J95" s="213" t="inlineStr">
        <is>
          <t>Truck</t>
        </is>
      </c>
      <c r="K95" s="213" t="inlineStr">
        <is>
          <t>Truck</t>
        </is>
      </c>
      <c r="L95" s="213" t="inlineStr">
        <is>
          <t>Ocean Vessel</t>
        </is>
      </c>
      <c r="M95" s="213" t="inlineStr">
        <is>
          <t>Truck</t>
        </is>
      </c>
      <c r="N95" s="213" t="inlineStr">
        <is>
          <t>Truck</t>
        </is>
      </c>
      <c r="O95" s="213" t="inlineStr">
        <is>
          <t>Truck</t>
        </is>
      </c>
      <c r="P95" s="213" t="inlineStr">
        <is>
          <t>Truck</t>
        </is>
      </c>
      <c r="Q95" s="213" t="inlineStr">
        <is>
          <t>Truck</t>
        </is>
      </c>
      <c r="R95" s="213" t="inlineStr">
        <is>
          <t>Truck</t>
        </is>
      </c>
      <c r="S95" s="213" t="inlineStr">
        <is>
          <t>Truck</t>
        </is>
      </c>
      <c r="T95" s="213" t="inlineStr">
        <is>
          <t>Truck</t>
        </is>
      </c>
      <c r="U95" s="213" t="inlineStr">
        <is>
          <t>Truck</t>
        </is>
      </c>
      <c r="V95" s="213" t="inlineStr">
        <is>
          <t>Truck</t>
        </is>
      </c>
      <c r="W95" s="213" t="inlineStr">
        <is>
          <t>Truck</t>
        </is>
      </c>
      <c r="X95" s="213" t="inlineStr">
        <is>
          <t>Truck</t>
        </is>
      </c>
      <c r="Y95" s="213" t="inlineStr">
        <is>
          <t>Truck</t>
        </is>
      </c>
      <c r="Z95" s="213" t="inlineStr">
        <is>
          <t>Truck</t>
        </is>
      </c>
      <c r="AA95" s="213" t="inlineStr">
        <is>
          <t>Truck</t>
        </is>
      </c>
      <c r="AB95" s="213" t="inlineStr">
        <is>
          <t>Truck</t>
        </is>
      </c>
      <c r="AC95" s="213" t="inlineStr">
        <is>
          <t>Truck</t>
        </is>
      </c>
      <c r="AD95" s="213" t="inlineStr">
        <is>
          <t>Truck</t>
        </is>
      </c>
      <c r="AE95" s="213" t="inlineStr">
        <is>
          <t>Truck</t>
        </is>
      </c>
      <c r="AF95" s="213" t="inlineStr">
        <is>
          <t>Truck</t>
        </is>
      </c>
      <c r="AG95" s="213" t="inlineStr">
        <is>
          <t>Truck</t>
        </is>
      </c>
      <c r="AH95" s="213" t="inlineStr">
        <is>
          <t>Truck</t>
        </is>
      </c>
      <c r="AI95" s="213" t="inlineStr">
        <is>
          <t>Truck</t>
        </is>
      </c>
      <c r="AJ95" s="213" t="inlineStr">
        <is>
          <t>Truck</t>
        </is>
      </c>
      <c r="AK95" s="213" t="inlineStr">
        <is>
          <t>Truck</t>
        </is>
      </c>
      <c r="AL95" s="213" t="inlineStr">
        <is>
          <t>Truck</t>
        </is>
      </c>
      <c r="AM95" s="213" t="inlineStr">
        <is>
          <t>Truck</t>
        </is>
      </c>
      <c r="AN95" s="213" t="inlineStr">
        <is>
          <t>Truck</t>
        </is>
      </c>
      <c r="AO95" s="213" t="inlineStr">
        <is>
          <t>Truck</t>
        </is>
      </c>
      <c r="AP95" s="213" t="inlineStr">
        <is>
          <t>Truck</t>
        </is>
      </c>
      <c r="AQ95" s="213" t="inlineStr">
        <is>
          <t>Truck</t>
        </is>
      </c>
      <c r="AR95" s="213" t="inlineStr">
        <is>
          <t>Truck</t>
        </is>
      </c>
      <c r="AS95" s="213" t="inlineStr">
        <is>
          <t>Truck</t>
        </is>
      </c>
      <c r="AT95" s="213" t="inlineStr">
        <is>
          <t>Truck</t>
        </is>
      </c>
      <c r="AU95" s="213" t="inlineStr">
        <is>
          <t>Truck</t>
        </is>
      </c>
      <c r="AV95" s="213" t="inlineStr">
        <is>
          <t>Truck</t>
        </is>
      </c>
      <c r="AW95" s="213" t="inlineStr">
        <is>
          <t>Truck</t>
        </is>
      </c>
      <c r="AX95" s="213" t="inlineStr">
        <is>
          <t>Truck</t>
        </is>
      </c>
      <c r="AY95" s="213" t="inlineStr">
        <is>
          <t>Truck</t>
        </is>
      </c>
      <c r="AZ95" s="213" t="inlineStr">
        <is>
          <t>Truck</t>
        </is>
      </c>
      <c r="BA95" s="213" t="inlineStr">
        <is>
          <t>Truck</t>
        </is>
      </c>
      <c r="BB95" s="213" t="inlineStr">
        <is>
          <t>Truck</t>
        </is>
      </c>
      <c r="BC95" s="213" t="inlineStr">
        <is>
          <t>Truck</t>
        </is>
      </c>
      <c r="BD95" s="214" t="inlineStr">
        <is>
          <t>Truck</t>
        </is>
      </c>
      <c r="BE95" s="214" t="inlineStr">
        <is>
          <t>Truck</t>
        </is>
      </c>
      <c r="BF95" s="214" t="inlineStr">
        <is>
          <t>Truck</t>
        </is>
      </c>
      <c r="BG95" s="214" t="inlineStr">
        <is>
          <t>Truck</t>
        </is>
      </c>
      <c r="BH95" s="214" t="inlineStr">
        <is>
          <t>Truck</t>
        </is>
      </c>
      <c r="BI95" s="214" t="inlineStr">
        <is>
          <t>Truck</t>
        </is>
      </c>
      <c r="BJ95" s="214" t="inlineStr">
        <is>
          <t>Truck</t>
        </is>
      </c>
      <c r="BK95" s="214" t="inlineStr">
        <is>
          <t>Truck</t>
        </is>
      </c>
      <c r="BL95" s="214" t="inlineStr">
        <is>
          <t>Truck</t>
        </is>
      </c>
      <c r="BM95" s="214" t="inlineStr">
        <is>
          <t>Truck</t>
        </is>
      </c>
      <c r="BN95" s="214" t="inlineStr">
        <is>
          <t>Truck</t>
        </is>
      </c>
      <c r="BO95" s="214" t="inlineStr">
        <is>
          <t>Truck</t>
        </is>
      </c>
      <c r="BP95" s="214" t="inlineStr">
        <is>
          <t>Truck</t>
        </is>
      </c>
      <c r="BQ95" s="70" t="n"/>
      <c r="BR95" s="67" t="n"/>
    </row>
    <row r="96" ht="17" customHeight="1" s="165">
      <c r="A96" s="210" t="n"/>
      <c r="B96" s="152" t="inlineStr">
        <is>
          <t>Emission Factor (Auto)</t>
        </is>
      </c>
      <c r="C96" s="216">
        <f>VLOOKUP(C95,$Q$3:$R$6,2,0)</f>
        <v/>
      </c>
      <c r="D96" s="216">
        <f>VLOOKUP(D95,$Q$3:$R$6,2,0)</f>
        <v/>
      </c>
      <c r="E96" s="216">
        <f>VLOOKUP(E95,$Q$3:$R$6,2,0)</f>
        <v/>
      </c>
      <c r="F96" s="216">
        <f>VLOOKUP(F95,$Q$3:$R$6,2,0)</f>
        <v/>
      </c>
      <c r="G96" s="216">
        <f>VLOOKUP(G95,$Q$3:$R$6,2,0)</f>
        <v/>
      </c>
      <c r="H96" s="216">
        <f>VLOOKUP(H95,$Q$3:$R$6,2,0)</f>
        <v/>
      </c>
      <c r="I96" s="216">
        <f>VLOOKUP(I95,$Q$3:$R$6,2,0)</f>
        <v/>
      </c>
      <c r="J96" s="216">
        <f>VLOOKUP(J95,$Q$3:$R$6,2,0)</f>
        <v/>
      </c>
      <c r="K96" s="216">
        <f>VLOOKUP(K95,$Q$3:$R$6,2,0)</f>
        <v/>
      </c>
      <c r="L96" s="216">
        <f>VLOOKUP(L95,$Q$3:$R$6,2,0)</f>
        <v/>
      </c>
      <c r="M96" s="216">
        <f>VLOOKUP(M95,$Q$3:$R$6,2,0)</f>
        <v/>
      </c>
      <c r="N96" s="216">
        <f>VLOOKUP(N95,$Q$3:$R$6,2,0)</f>
        <v/>
      </c>
      <c r="O96" s="216">
        <f>VLOOKUP(O95,$Q$3:$R$6,2,0)</f>
        <v/>
      </c>
      <c r="P96" s="216">
        <f>VLOOKUP(P95,$Q$3:$R$6,2,0)</f>
        <v/>
      </c>
      <c r="Q96" s="216">
        <f>VLOOKUP(Q95,$Q$3:$R$6,2,0)</f>
        <v/>
      </c>
      <c r="R96" s="216">
        <f>VLOOKUP(R95,$Q$3:$R$6,2,0)</f>
        <v/>
      </c>
      <c r="S96" s="216">
        <f>VLOOKUP(S95,$Q$3:$R$6,2,0)</f>
        <v/>
      </c>
      <c r="T96" s="216">
        <f>VLOOKUP(T95,$Q$3:$R$6,2,0)</f>
        <v/>
      </c>
      <c r="U96" s="216">
        <f>VLOOKUP(U95,$Q$3:$R$6,2,0)</f>
        <v/>
      </c>
      <c r="V96" s="216">
        <f>VLOOKUP(V95,$Q$3:$R$6,2,0)</f>
        <v/>
      </c>
      <c r="W96" s="216">
        <f>VLOOKUP(W95,$Q$3:$R$6,2,0)</f>
        <v/>
      </c>
      <c r="X96" s="216">
        <f>VLOOKUP(X95,$Q$3:$R$6,2,0)</f>
        <v/>
      </c>
      <c r="Y96" s="216">
        <f>VLOOKUP(Y95,$Q$3:$R$6,2,0)</f>
        <v/>
      </c>
      <c r="Z96" s="216">
        <f>VLOOKUP(Z95,$Q$3:$R$6,2,0)</f>
        <v/>
      </c>
      <c r="AA96" s="216">
        <f>VLOOKUP(AA95,$Q$3:$R$6,2,0)</f>
        <v/>
      </c>
      <c r="AB96" s="216">
        <f>VLOOKUP(AB95,$Q$3:$R$6,2,0)</f>
        <v/>
      </c>
      <c r="AC96" s="216">
        <f>VLOOKUP(AC95,$Q$3:$R$6,2,0)</f>
        <v/>
      </c>
      <c r="AD96" s="216">
        <f>VLOOKUP(AD95,$Q$3:$R$6,2,0)</f>
        <v/>
      </c>
      <c r="AE96" s="216">
        <f>VLOOKUP(AE95,$Q$3:$R$6,2,0)</f>
        <v/>
      </c>
      <c r="AF96" s="216">
        <f>VLOOKUP(AF95,$Q$3:$R$6,2,0)</f>
        <v/>
      </c>
      <c r="AG96" s="216">
        <f>VLOOKUP(AG95,$Q$3:$R$6,2,0)</f>
        <v/>
      </c>
      <c r="AH96" s="216">
        <f>VLOOKUP(AH95,$Q$3:$R$6,2,0)</f>
        <v/>
      </c>
      <c r="AI96" s="216">
        <f>VLOOKUP(AI95,$Q$3:$R$6,2,0)</f>
        <v/>
      </c>
      <c r="AJ96" s="216">
        <f>VLOOKUP(AJ95,$Q$3:$R$6,2,0)</f>
        <v/>
      </c>
      <c r="AK96" s="216">
        <f>VLOOKUP(AK95,$Q$3:$R$6,2,0)</f>
        <v/>
      </c>
      <c r="AL96" s="216">
        <f>VLOOKUP(AL95,$Q$3:$R$6,2,0)</f>
        <v/>
      </c>
      <c r="AM96" s="216">
        <f>VLOOKUP(AM95,$Q$3:$R$6,2,0)</f>
        <v/>
      </c>
      <c r="AN96" s="216">
        <f>VLOOKUP(AN95,$Q$3:$R$6,2,0)</f>
        <v/>
      </c>
      <c r="AO96" s="216">
        <f>VLOOKUP(AO95,$Q$3:$R$6,2,0)</f>
        <v/>
      </c>
      <c r="AP96" s="216">
        <f>VLOOKUP(AP95,$Q$3:$R$6,2,0)</f>
        <v/>
      </c>
      <c r="AQ96" s="216">
        <f>VLOOKUP(AQ95,$Q$3:$R$6,2,0)</f>
        <v/>
      </c>
      <c r="AR96" s="216">
        <f>VLOOKUP(AR95,$Q$3:$R$6,2,0)</f>
        <v/>
      </c>
      <c r="AS96" s="216">
        <f>VLOOKUP(AS95,$Q$3:$R$6,2,0)</f>
        <v/>
      </c>
      <c r="AT96" s="216">
        <f>VLOOKUP(AT95,$Q$3:$R$6,2,0)</f>
        <v/>
      </c>
      <c r="AU96" s="216">
        <f>VLOOKUP(AU95,$Q$3:$R$6,2,0)</f>
        <v/>
      </c>
      <c r="AV96" s="216">
        <f>VLOOKUP(AV95,$Q$3:$R$6,2,0)</f>
        <v/>
      </c>
      <c r="AW96" s="216">
        <f>VLOOKUP(AW95,$Q$3:$R$6,2,0)</f>
        <v/>
      </c>
      <c r="AX96" s="216">
        <f>VLOOKUP(AX95,$Q$3:$R$6,2,0)</f>
        <v/>
      </c>
      <c r="AY96" s="216">
        <f>VLOOKUP(AY95,$Q$3:$R$6,2,0)</f>
        <v/>
      </c>
      <c r="AZ96" s="216">
        <f>VLOOKUP(AZ95,$Q$3:$R$6,2,0)</f>
        <v/>
      </c>
      <c r="BA96" s="216">
        <f>VLOOKUP(BA95,$Q$3:$R$6,2,0)</f>
        <v/>
      </c>
      <c r="BB96" s="216">
        <f>VLOOKUP(BB95,$Q$3:$R$6,2,0)</f>
        <v/>
      </c>
      <c r="BC96" s="216">
        <f>VLOOKUP(BC95,$Q$3:$R$6,2,0)</f>
        <v/>
      </c>
      <c r="BD96" s="217">
        <f>VLOOKUP(BD95,$Q$3:$R$6,2,0)</f>
        <v/>
      </c>
      <c r="BE96" s="217">
        <f>VLOOKUP(BE95,$Q$3:$R$6,2,0)</f>
        <v/>
      </c>
      <c r="BF96" s="217">
        <f>VLOOKUP(BF95,$Q$3:$R$6,2,0)</f>
        <v/>
      </c>
      <c r="BG96" s="217">
        <f>VLOOKUP(BG95,$Q$3:$R$6,2,0)</f>
        <v/>
      </c>
      <c r="BH96" s="217">
        <f>VLOOKUP(BH95,$Q$3:$R$6,2,0)</f>
        <v/>
      </c>
      <c r="BI96" s="217">
        <f>VLOOKUP(BI95,$Q$3:$R$6,2,0)</f>
        <v/>
      </c>
      <c r="BJ96" s="217">
        <f>VLOOKUP(BJ95,$Q$3:$R$6,2,0)</f>
        <v/>
      </c>
      <c r="BK96" s="217">
        <f>VLOOKUP(BK95,$Q$3:$R$6,2,0)</f>
        <v/>
      </c>
      <c r="BL96" s="217">
        <f>VLOOKUP(BL95,$Q$3:$R$6,2,0)</f>
        <v/>
      </c>
      <c r="BM96" s="217">
        <f>VLOOKUP(BM95,$Q$3:$R$6,2,0)</f>
        <v/>
      </c>
      <c r="BN96" s="217">
        <f>VLOOKUP(BN95,$Q$3:$R$6,2,0)</f>
        <v/>
      </c>
      <c r="BO96" s="217">
        <f>VLOOKUP(BO95,$Q$3:$R$6,2,0)</f>
        <v/>
      </c>
      <c r="BP96" s="217">
        <f>VLOOKUP(BP95,$Q$3:$R$6,2,0)</f>
        <v/>
      </c>
      <c r="BQ96" s="234" t="n"/>
      <c r="BR96" s="67" t="n"/>
    </row>
    <row r="97" ht="17" customHeight="1" s="165">
      <c r="A97" s="210" t="n"/>
      <c r="B97" s="57" t="inlineStr">
        <is>
          <t>Annual Travel Distance (km)</t>
        </is>
      </c>
      <c r="C97" s="235" t="n"/>
      <c r="D97" s="235" t="n">
        <v>289182.08</v>
      </c>
      <c r="E97" s="235" t="n">
        <v>8275.200000000001</v>
      </c>
      <c r="F97" s="235" t="n">
        <v>370346.24</v>
      </c>
      <c r="G97" s="235" t="n"/>
      <c r="H97" s="235" t="n"/>
      <c r="I97" s="235" t="n"/>
      <c r="J97" s="235" t="n">
        <v>53392.00000000001</v>
      </c>
      <c r="K97" s="235" t="n"/>
      <c r="L97" s="235" t="n"/>
      <c r="M97" s="235" t="n"/>
      <c r="N97" s="235" t="n"/>
      <c r="O97" s="235" t="n"/>
      <c r="P97" s="235" t="n"/>
      <c r="Q97" s="235" t="n"/>
      <c r="R97" s="235" t="n"/>
      <c r="S97" s="235" t="n"/>
      <c r="T97" s="235" t="n"/>
      <c r="U97" s="235" t="n"/>
      <c r="V97" s="235" t="n"/>
      <c r="W97" s="235" t="n"/>
      <c r="X97" s="235" t="n"/>
      <c r="Y97" s="235" t="n"/>
      <c r="Z97" s="235" t="n"/>
      <c r="AA97" s="235" t="n"/>
      <c r="AB97" s="235" t="n"/>
      <c r="AC97" s="235" t="n"/>
      <c r="AD97" s="235" t="n"/>
      <c r="AE97" s="235" t="n"/>
      <c r="AF97" s="235" t="n"/>
      <c r="AG97" s="235" t="n"/>
      <c r="AH97" s="235" t="n"/>
      <c r="AI97" s="235" t="n"/>
      <c r="AJ97" s="235" t="n"/>
      <c r="AK97" s="235" t="n"/>
      <c r="AL97" s="235" t="n"/>
      <c r="AM97" s="235" t="n"/>
      <c r="AN97" s="235" t="n"/>
      <c r="AO97" s="235" t="n"/>
      <c r="AP97" s="235" t="n"/>
      <c r="AQ97" s="235" t="n"/>
      <c r="AR97" s="235" t="n"/>
      <c r="AS97" s="235" t="n"/>
      <c r="AT97" s="235" t="n"/>
      <c r="AU97" s="235" t="n"/>
      <c r="AV97" s="235" t="n"/>
      <c r="AW97" s="235" t="n"/>
      <c r="AX97" s="235" t="n"/>
      <c r="AY97" s="235" t="n"/>
      <c r="AZ97" s="235" t="n"/>
      <c r="BA97" s="235" t="n"/>
      <c r="BB97" s="235" t="n"/>
      <c r="BC97" s="235" t="n"/>
      <c r="BD97" s="236" t="n"/>
      <c r="BE97" s="236" t="n"/>
      <c r="BF97" s="236" t="n"/>
      <c r="BG97" s="236" t="n"/>
      <c r="BH97" s="236" t="n"/>
      <c r="BI97" s="236" t="n"/>
      <c r="BJ97" s="236" t="n"/>
      <c r="BK97" s="236" t="n"/>
      <c r="BL97" s="236" t="n"/>
      <c r="BM97" s="236" t="n"/>
      <c r="BN97" s="236" t="n"/>
      <c r="BO97" s="236" t="n"/>
      <c r="BP97" s="236" t="n"/>
      <c r="BQ97" s="234" t="n"/>
      <c r="BR97" s="67" t="n"/>
    </row>
    <row r="98" ht="18.5" customHeight="1" s="165">
      <c r="A98" s="192" t="n"/>
      <c r="B98" s="77" t="inlineStr">
        <is>
          <t>Total Sold Weight (kg)</t>
        </is>
      </c>
      <c r="C98" s="78" t="n"/>
      <c r="D98" s="237" t="n">
        <v>2997366.58170838</v>
      </c>
      <c r="E98" s="237" t="n">
        <v>106401.75</v>
      </c>
      <c r="F98" s="237" t="n">
        <v>6184093.379699999</v>
      </c>
      <c r="G98" s="237" t="n"/>
      <c r="H98" s="237" t="n"/>
      <c r="I98" s="237" t="n"/>
      <c r="J98" s="237" t="n">
        <v>810341.2842000001</v>
      </c>
      <c r="K98" s="78" t="n"/>
      <c r="L98" s="78" t="n"/>
      <c r="M98" s="78" t="n"/>
      <c r="N98" s="78" t="n"/>
      <c r="O98" s="78" t="n"/>
      <c r="P98" s="78" t="n"/>
      <c r="Q98" s="78" t="n"/>
      <c r="R98" s="78" t="n"/>
      <c r="S98" s="78" t="n"/>
      <c r="T98" s="78" t="n"/>
      <c r="U98" s="78" t="n"/>
      <c r="V98" s="78" t="n"/>
      <c r="W98" s="78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8" t="n"/>
      <c r="AK98" s="78" t="n"/>
      <c r="AL98" s="78" t="n"/>
      <c r="AM98" s="78" t="n"/>
      <c r="AN98" s="78" t="n"/>
      <c r="AO98" s="78" t="n"/>
      <c r="AP98" s="78" t="n"/>
      <c r="AQ98" s="78" t="n"/>
      <c r="AR98" s="78" t="n"/>
      <c r="AS98" s="78" t="n"/>
      <c r="AT98" s="78" t="n"/>
      <c r="AU98" s="78" t="n"/>
      <c r="AV98" s="78" t="n"/>
      <c r="AW98" s="78" t="n"/>
      <c r="AX98" s="78" t="n"/>
      <c r="AY98" s="78" t="n"/>
      <c r="AZ98" s="78" t="n"/>
      <c r="BA98" s="78" t="n"/>
      <c r="BB98" s="78" t="n"/>
      <c r="BC98" s="78" t="n"/>
      <c r="BD98" s="79" t="n"/>
      <c r="BE98" s="79" t="n"/>
      <c r="BF98" s="79" t="n"/>
      <c r="BG98" s="79" t="n"/>
      <c r="BH98" s="79" t="n"/>
      <c r="BI98" s="79" t="n"/>
      <c r="BJ98" s="79" t="n"/>
      <c r="BK98" s="79" t="n"/>
      <c r="BL98" s="79" t="n"/>
      <c r="BM98" s="79" t="n"/>
      <c r="BN98" s="79" t="n"/>
      <c r="BO98" s="79" t="n"/>
      <c r="BP98" s="79" t="n"/>
      <c r="BQ98" s="198">
        <f t="array" ref="BQ98">SUMPRODUCT(C96:BP96,C97:BP97,C98:BP98/1000)</f>
        <v/>
      </c>
      <c r="BR98" s="199">
        <f>BQ98/1000</f>
        <v/>
      </c>
    </row>
    <row r="99" ht="18.5" customHeight="1" s="165">
      <c r="A99" s="152" t="inlineStr">
        <is>
          <t>Savannah</t>
        </is>
      </c>
      <c r="B99" s="56" t="inlineStr">
        <is>
          <t>Transport Mode</t>
        </is>
      </c>
      <c r="C99" s="213" t="inlineStr">
        <is>
          <t>Rail</t>
        </is>
      </c>
      <c r="D99" s="213" t="inlineStr">
        <is>
          <t>Truck</t>
        </is>
      </c>
      <c r="E99" s="213" t="inlineStr">
        <is>
          <t>Truck</t>
        </is>
      </c>
      <c r="F99" s="213" t="inlineStr">
        <is>
          <t>Air</t>
        </is>
      </c>
      <c r="G99" s="213" t="inlineStr">
        <is>
          <t>Truck</t>
        </is>
      </c>
      <c r="H99" s="213" t="inlineStr">
        <is>
          <t>Truck</t>
        </is>
      </c>
      <c r="I99" s="213" t="inlineStr">
        <is>
          <t>Truck</t>
        </is>
      </c>
      <c r="J99" s="213" t="inlineStr">
        <is>
          <t>Truck</t>
        </is>
      </c>
      <c r="K99" s="213" t="inlineStr">
        <is>
          <t>Truck</t>
        </is>
      </c>
      <c r="L99" s="213" t="inlineStr">
        <is>
          <t>Ocean Vessel</t>
        </is>
      </c>
      <c r="M99" s="213" t="inlineStr">
        <is>
          <t>Truck</t>
        </is>
      </c>
      <c r="N99" s="213" t="inlineStr">
        <is>
          <t>Truck</t>
        </is>
      </c>
      <c r="O99" s="213" t="inlineStr">
        <is>
          <t>Truck</t>
        </is>
      </c>
      <c r="P99" s="213" t="inlineStr">
        <is>
          <t>Truck</t>
        </is>
      </c>
      <c r="Q99" s="213" t="inlineStr">
        <is>
          <t>Truck</t>
        </is>
      </c>
      <c r="R99" s="213" t="inlineStr">
        <is>
          <t>Truck</t>
        </is>
      </c>
      <c r="S99" s="213" t="inlineStr">
        <is>
          <t>Truck</t>
        </is>
      </c>
      <c r="T99" s="213" t="inlineStr">
        <is>
          <t>Truck</t>
        </is>
      </c>
      <c r="U99" s="213" t="inlineStr">
        <is>
          <t>Truck</t>
        </is>
      </c>
      <c r="V99" s="213" t="inlineStr">
        <is>
          <t>Truck</t>
        </is>
      </c>
      <c r="W99" s="213" t="inlineStr">
        <is>
          <t>Truck</t>
        </is>
      </c>
      <c r="X99" s="213" t="inlineStr">
        <is>
          <t>Truck</t>
        </is>
      </c>
      <c r="Y99" s="213" t="inlineStr">
        <is>
          <t>Truck</t>
        </is>
      </c>
      <c r="Z99" s="213" t="inlineStr">
        <is>
          <t>Truck</t>
        </is>
      </c>
      <c r="AA99" s="213" t="inlineStr">
        <is>
          <t>Truck</t>
        </is>
      </c>
      <c r="AB99" s="213" t="inlineStr">
        <is>
          <t>Truck</t>
        </is>
      </c>
      <c r="AC99" s="213" t="inlineStr">
        <is>
          <t>Truck</t>
        </is>
      </c>
      <c r="AD99" s="213" t="inlineStr">
        <is>
          <t>Truck</t>
        </is>
      </c>
      <c r="AE99" s="213" t="inlineStr">
        <is>
          <t>Truck</t>
        </is>
      </c>
      <c r="AF99" s="213" t="inlineStr">
        <is>
          <t>Truck</t>
        </is>
      </c>
      <c r="AG99" s="213" t="inlineStr">
        <is>
          <t>Truck</t>
        </is>
      </c>
      <c r="AH99" s="213" t="inlineStr">
        <is>
          <t>Truck</t>
        </is>
      </c>
      <c r="AI99" s="213" t="inlineStr">
        <is>
          <t>Truck</t>
        </is>
      </c>
      <c r="AJ99" s="213" t="inlineStr">
        <is>
          <t>Truck</t>
        </is>
      </c>
      <c r="AK99" s="213" t="inlineStr">
        <is>
          <t>Truck</t>
        </is>
      </c>
      <c r="AL99" s="213" t="inlineStr">
        <is>
          <t>Truck</t>
        </is>
      </c>
      <c r="AM99" s="213" t="inlineStr">
        <is>
          <t>Truck</t>
        </is>
      </c>
      <c r="AN99" s="213" t="inlineStr">
        <is>
          <t>Truck</t>
        </is>
      </c>
      <c r="AO99" s="213" t="inlineStr">
        <is>
          <t>Truck</t>
        </is>
      </c>
      <c r="AP99" s="213" t="inlineStr">
        <is>
          <t>Truck</t>
        </is>
      </c>
      <c r="AQ99" s="213" t="inlineStr">
        <is>
          <t>Truck</t>
        </is>
      </c>
      <c r="AR99" s="213" t="inlineStr">
        <is>
          <t>Truck</t>
        </is>
      </c>
      <c r="AS99" s="213" t="inlineStr">
        <is>
          <t>Truck</t>
        </is>
      </c>
      <c r="AT99" s="213" t="inlineStr">
        <is>
          <t>Truck</t>
        </is>
      </c>
      <c r="AU99" s="213" t="inlineStr">
        <is>
          <t>Truck</t>
        </is>
      </c>
      <c r="AV99" s="213" t="inlineStr">
        <is>
          <t>Truck</t>
        </is>
      </c>
      <c r="AW99" s="213" t="inlineStr">
        <is>
          <t>Truck</t>
        </is>
      </c>
      <c r="AX99" s="213" t="inlineStr">
        <is>
          <t>Truck</t>
        </is>
      </c>
      <c r="AY99" s="213" t="inlineStr">
        <is>
          <t>Truck</t>
        </is>
      </c>
      <c r="AZ99" s="213" t="inlineStr">
        <is>
          <t>Truck</t>
        </is>
      </c>
      <c r="BA99" s="213" t="inlineStr">
        <is>
          <t>Truck</t>
        </is>
      </c>
      <c r="BB99" s="213" t="inlineStr">
        <is>
          <t>Truck</t>
        </is>
      </c>
      <c r="BC99" s="213" t="inlineStr">
        <is>
          <t>Truck</t>
        </is>
      </c>
      <c r="BD99" s="214" t="inlineStr">
        <is>
          <t>Truck</t>
        </is>
      </c>
      <c r="BE99" s="214" t="inlineStr">
        <is>
          <t>Truck</t>
        </is>
      </c>
      <c r="BF99" s="214" t="inlineStr">
        <is>
          <t>Truck</t>
        </is>
      </c>
      <c r="BG99" s="214" t="inlineStr">
        <is>
          <t>Truck</t>
        </is>
      </c>
      <c r="BH99" s="214" t="inlineStr">
        <is>
          <t>Truck</t>
        </is>
      </c>
      <c r="BI99" s="214" t="inlineStr">
        <is>
          <t>Truck</t>
        </is>
      </c>
      <c r="BJ99" s="214" t="inlineStr">
        <is>
          <t>Truck</t>
        </is>
      </c>
      <c r="BK99" s="214" t="inlineStr">
        <is>
          <t>Truck</t>
        </is>
      </c>
      <c r="BL99" s="214" t="inlineStr">
        <is>
          <t>Truck</t>
        </is>
      </c>
      <c r="BM99" s="214" t="inlineStr">
        <is>
          <t>Truck</t>
        </is>
      </c>
      <c r="BN99" s="214" t="inlineStr">
        <is>
          <t>Truck</t>
        </is>
      </c>
      <c r="BO99" s="214" t="inlineStr">
        <is>
          <t>Truck</t>
        </is>
      </c>
      <c r="BP99" s="214" t="inlineStr">
        <is>
          <t>Truck</t>
        </is>
      </c>
      <c r="BQ99" s="70" t="n"/>
      <c r="BR99" s="67" t="n"/>
    </row>
    <row r="100" ht="17" customHeight="1" s="165">
      <c r="A100" s="210" t="n"/>
      <c r="B100" s="152" t="inlineStr">
        <is>
          <t>Emission Factor (Auto)</t>
        </is>
      </c>
      <c r="C100" s="216">
        <f>VLOOKUP(C99,$Q$3:$R$6,2,0)</f>
        <v/>
      </c>
      <c r="D100" s="216">
        <f>VLOOKUP(D99,$Q$3:$R$6,2,0)</f>
        <v/>
      </c>
      <c r="E100" s="216">
        <f>VLOOKUP(E99,$Q$3:$R$6,2,0)</f>
        <v/>
      </c>
      <c r="F100" s="216">
        <f>VLOOKUP(F99,$Q$3:$R$6,2,0)</f>
        <v/>
      </c>
      <c r="G100" s="216">
        <f>VLOOKUP(G99,$Q$3:$R$6,2,0)</f>
        <v/>
      </c>
      <c r="H100" s="216">
        <f>VLOOKUP(H99,$Q$3:$R$6,2,0)</f>
        <v/>
      </c>
      <c r="I100" s="216">
        <f>VLOOKUP(I99,$Q$3:$R$6,2,0)</f>
        <v/>
      </c>
      <c r="J100" s="216">
        <f>VLOOKUP(J99,$Q$3:$R$6,2,0)</f>
        <v/>
      </c>
      <c r="K100" s="216">
        <f>VLOOKUP(K99,$Q$3:$R$6,2,0)</f>
        <v/>
      </c>
      <c r="L100" s="216">
        <f>VLOOKUP(L99,$Q$3:$R$6,2,0)</f>
        <v/>
      </c>
      <c r="M100" s="216">
        <f>VLOOKUP(M99,$Q$3:$R$6,2,0)</f>
        <v/>
      </c>
      <c r="N100" s="216">
        <f>VLOOKUP(N99,$Q$3:$R$6,2,0)</f>
        <v/>
      </c>
      <c r="O100" s="216">
        <f>VLOOKUP(O99,$Q$3:$R$6,2,0)</f>
        <v/>
      </c>
      <c r="P100" s="216">
        <f>VLOOKUP(P99,$Q$3:$R$6,2,0)</f>
        <v/>
      </c>
      <c r="Q100" s="216">
        <f>VLOOKUP(Q99,$Q$3:$R$6,2,0)</f>
        <v/>
      </c>
      <c r="R100" s="216">
        <f>VLOOKUP(R99,$Q$3:$R$6,2,0)</f>
        <v/>
      </c>
      <c r="S100" s="216">
        <f>VLOOKUP(S99,$Q$3:$R$6,2,0)</f>
        <v/>
      </c>
      <c r="T100" s="216">
        <f>VLOOKUP(T99,$Q$3:$R$6,2,0)</f>
        <v/>
      </c>
      <c r="U100" s="216">
        <f>VLOOKUP(U99,$Q$3:$R$6,2,0)</f>
        <v/>
      </c>
      <c r="V100" s="216">
        <f>VLOOKUP(V99,$Q$3:$R$6,2,0)</f>
        <v/>
      </c>
      <c r="W100" s="216">
        <f>VLOOKUP(W99,$Q$3:$R$6,2,0)</f>
        <v/>
      </c>
      <c r="X100" s="216">
        <f>VLOOKUP(X99,$Q$3:$R$6,2,0)</f>
        <v/>
      </c>
      <c r="Y100" s="216">
        <f>VLOOKUP(Y99,$Q$3:$R$6,2,0)</f>
        <v/>
      </c>
      <c r="Z100" s="216">
        <f>VLOOKUP(Z99,$Q$3:$R$6,2,0)</f>
        <v/>
      </c>
      <c r="AA100" s="216">
        <f>VLOOKUP(AA99,$Q$3:$R$6,2,0)</f>
        <v/>
      </c>
      <c r="AB100" s="216">
        <f>VLOOKUP(AB99,$Q$3:$R$6,2,0)</f>
        <v/>
      </c>
      <c r="AC100" s="216">
        <f>VLOOKUP(AC99,$Q$3:$R$6,2,0)</f>
        <v/>
      </c>
      <c r="AD100" s="216">
        <f>VLOOKUP(AD99,$Q$3:$R$6,2,0)</f>
        <v/>
      </c>
      <c r="AE100" s="216">
        <f>VLOOKUP(AE99,$Q$3:$R$6,2,0)</f>
        <v/>
      </c>
      <c r="AF100" s="216">
        <f>VLOOKUP(AF99,$Q$3:$R$6,2,0)</f>
        <v/>
      </c>
      <c r="AG100" s="216">
        <f>VLOOKUP(AG99,$Q$3:$R$6,2,0)</f>
        <v/>
      </c>
      <c r="AH100" s="216">
        <f>VLOOKUP(AH99,$Q$3:$R$6,2,0)</f>
        <v/>
      </c>
      <c r="AI100" s="216">
        <f>VLOOKUP(AI99,$Q$3:$R$6,2,0)</f>
        <v/>
      </c>
      <c r="AJ100" s="216">
        <f>VLOOKUP(AJ99,$Q$3:$R$6,2,0)</f>
        <v/>
      </c>
      <c r="AK100" s="216">
        <f>VLOOKUP(AK99,$Q$3:$R$6,2,0)</f>
        <v/>
      </c>
      <c r="AL100" s="216">
        <f>VLOOKUP(AL99,$Q$3:$R$6,2,0)</f>
        <v/>
      </c>
      <c r="AM100" s="216">
        <f>VLOOKUP(AM99,$Q$3:$R$6,2,0)</f>
        <v/>
      </c>
      <c r="AN100" s="216">
        <f>VLOOKUP(AN99,$Q$3:$R$6,2,0)</f>
        <v/>
      </c>
      <c r="AO100" s="216">
        <f>VLOOKUP(AO99,$Q$3:$R$6,2,0)</f>
        <v/>
      </c>
      <c r="AP100" s="216">
        <f>VLOOKUP(AP99,$Q$3:$R$6,2,0)</f>
        <v/>
      </c>
      <c r="AQ100" s="216">
        <f>VLOOKUP(AQ99,$Q$3:$R$6,2,0)</f>
        <v/>
      </c>
      <c r="AR100" s="216">
        <f>VLOOKUP(AR99,$Q$3:$R$6,2,0)</f>
        <v/>
      </c>
      <c r="AS100" s="216">
        <f>VLOOKUP(AS99,$Q$3:$R$6,2,0)</f>
        <v/>
      </c>
      <c r="AT100" s="216">
        <f>VLOOKUP(AT99,$Q$3:$R$6,2,0)</f>
        <v/>
      </c>
      <c r="AU100" s="216">
        <f>VLOOKUP(AU99,$Q$3:$R$6,2,0)</f>
        <v/>
      </c>
      <c r="AV100" s="216">
        <f>VLOOKUP(AV99,$Q$3:$R$6,2,0)</f>
        <v/>
      </c>
      <c r="AW100" s="216">
        <f>VLOOKUP(AW99,$Q$3:$R$6,2,0)</f>
        <v/>
      </c>
      <c r="AX100" s="216">
        <f>VLOOKUP(AX99,$Q$3:$R$6,2,0)</f>
        <v/>
      </c>
      <c r="AY100" s="216">
        <f>VLOOKUP(AY99,$Q$3:$R$6,2,0)</f>
        <v/>
      </c>
      <c r="AZ100" s="216">
        <f>VLOOKUP(AZ99,$Q$3:$R$6,2,0)</f>
        <v/>
      </c>
      <c r="BA100" s="216">
        <f>VLOOKUP(BA99,$Q$3:$R$6,2,0)</f>
        <v/>
      </c>
      <c r="BB100" s="216">
        <f>VLOOKUP(BB99,$Q$3:$R$6,2,0)</f>
        <v/>
      </c>
      <c r="BC100" s="216">
        <f>VLOOKUP(BC99,$Q$3:$R$6,2,0)</f>
        <v/>
      </c>
      <c r="BD100" s="217">
        <f>VLOOKUP(BD99,$Q$3:$R$6,2,0)</f>
        <v/>
      </c>
      <c r="BE100" s="217">
        <f>VLOOKUP(BE99,$Q$3:$R$6,2,0)</f>
        <v/>
      </c>
      <c r="BF100" s="217">
        <f>VLOOKUP(BF99,$Q$3:$R$6,2,0)</f>
        <v/>
      </c>
      <c r="BG100" s="217">
        <f>VLOOKUP(BG99,$Q$3:$R$6,2,0)</f>
        <v/>
      </c>
      <c r="BH100" s="217">
        <f>VLOOKUP(BH99,$Q$3:$R$6,2,0)</f>
        <v/>
      </c>
      <c r="BI100" s="217">
        <f>VLOOKUP(BI99,$Q$3:$R$6,2,0)</f>
        <v/>
      </c>
      <c r="BJ100" s="217">
        <f>VLOOKUP(BJ99,$Q$3:$R$6,2,0)</f>
        <v/>
      </c>
      <c r="BK100" s="217">
        <f>VLOOKUP(BK99,$Q$3:$R$6,2,0)</f>
        <v/>
      </c>
      <c r="BL100" s="217">
        <f>VLOOKUP(BL99,$Q$3:$R$6,2,0)</f>
        <v/>
      </c>
      <c r="BM100" s="217">
        <f>VLOOKUP(BM99,$Q$3:$R$6,2,0)</f>
        <v/>
      </c>
      <c r="BN100" s="217">
        <f>VLOOKUP(BN99,$Q$3:$R$6,2,0)</f>
        <v/>
      </c>
      <c r="BO100" s="217">
        <f>VLOOKUP(BO99,$Q$3:$R$6,2,0)</f>
        <v/>
      </c>
      <c r="BP100" s="217">
        <f>VLOOKUP(BP99,$Q$3:$R$6,2,0)</f>
        <v/>
      </c>
      <c r="BQ100" s="234" t="n"/>
      <c r="BR100" s="67" t="n"/>
    </row>
    <row r="101" ht="17" customHeight="1" s="165">
      <c r="A101" s="210" t="n"/>
      <c r="B101" s="57" t="inlineStr">
        <is>
          <t>Annual Travel Distance (km)</t>
        </is>
      </c>
      <c r="C101" s="235" t="n"/>
      <c r="D101" s="235" t="n">
        <v>2232</v>
      </c>
      <c r="E101" s="235" t="n"/>
      <c r="F101" s="235" t="n"/>
      <c r="G101" s="235" t="n">
        <v>1332</v>
      </c>
      <c r="H101" s="235" t="n"/>
      <c r="I101" s="235" t="n"/>
      <c r="J101" s="235" t="n">
        <v>9760</v>
      </c>
      <c r="K101" s="235" t="n"/>
      <c r="L101" s="235" t="n"/>
      <c r="M101" s="235" t="n"/>
      <c r="N101" s="235" t="n"/>
      <c r="O101" s="235" t="n"/>
      <c r="P101" s="235" t="n"/>
      <c r="Q101" s="235" t="n"/>
      <c r="R101" s="235" t="n"/>
      <c r="S101" s="235" t="n"/>
      <c r="T101" s="235" t="n"/>
      <c r="U101" s="235" t="n"/>
      <c r="V101" s="235" t="n"/>
      <c r="W101" s="235" t="n"/>
      <c r="X101" s="235" t="n"/>
      <c r="Y101" s="235" t="n"/>
      <c r="Z101" s="235" t="n"/>
      <c r="AA101" s="235" t="n"/>
      <c r="AB101" s="235" t="n"/>
      <c r="AC101" s="235" t="n"/>
      <c r="AD101" s="235" t="n"/>
      <c r="AE101" s="235" t="n"/>
      <c r="AF101" s="235" t="n"/>
      <c r="AG101" s="235" t="n"/>
      <c r="AH101" s="235" t="n"/>
      <c r="AI101" s="235" t="n"/>
      <c r="AJ101" s="235" t="n"/>
      <c r="AK101" s="235" t="n"/>
      <c r="AL101" s="235" t="n"/>
      <c r="AM101" s="235" t="n"/>
      <c r="AN101" s="235" t="n"/>
      <c r="AO101" s="235" t="n"/>
      <c r="AP101" s="235" t="n"/>
      <c r="AQ101" s="235" t="n"/>
      <c r="AR101" s="235" t="n"/>
      <c r="AS101" s="235" t="n"/>
      <c r="AT101" s="235" t="n"/>
      <c r="AU101" s="235" t="n"/>
      <c r="AV101" s="235" t="n"/>
      <c r="AW101" s="235" t="n"/>
      <c r="AX101" s="235" t="n"/>
      <c r="AY101" s="235" t="n"/>
      <c r="AZ101" s="235" t="n"/>
      <c r="BA101" s="235" t="n"/>
      <c r="BB101" s="235" t="n"/>
      <c r="BC101" s="235" t="n"/>
      <c r="BD101" s="236" t="n"/>
      <c r="BE101" s="236" t="n"/>
      <c r="BF101" s="236" t="n"/>
      <c r="BG101" s="236" t="n"/>
      <c r="BH101" s="236" t="n"/>
      <c r="BI101" s="236" t="n"/>
      <c r="BJ101" s="236" t="n"/>
      <c r="BK101" s="236" t="n"/>
      <c r="BL101" s="236" t="n"/>
      <c r="BM101" s="236" t="n"/>
      <c r="BN101" s="236" t="n"/>
      <c r="BO101" s="236" t="n"/>
      <c r="BP101" s="236" t="n"/>
      <c r="BQ101" s="234" t="n"/>
      <c r="BR101" s="67" t="n"/>
    </row>
    <row r="102" ht="18.5" customHeight="1" s="165">
      <c r="A102" s="192" t="n"/>
      <c r="B102" s="77" t="inlineStr">
        <is>
          <t>Total Sold Weight (kg)</t>
        </is>
      </c>
      <c r="C102" s="78" t="n"/>
      <c r="D102" s="78" t="n">
        <v>60195.398</v>
      </c>
      <c r="E102" s="78" t="n"/>
      <c r="F102" s="78" t="n"/>
      <c r="G102" s="78" t="n">
        <v>16907.0297</v>
      </c>
      <c r="H102" s="78" t="n"/>
      <c r="I102" s="78" t="n"/>
      <c r="J102" s="78" t="n">
        <v>64615.91999999998</v>
      </c>
      <c r="K102" s="78" t="n"/>
      <c r="L102" s="78" t="n"/>
      <c r="M102" s="78" t="n"/>
      <c r="N102" s="78" t="n"/>
      <c r="O102" s="78" t="n"/>
      <c r="P102" s="78" t="n"/>
      <c r="Q102" s="78" t="n"/>
      <c r="R102" s="78" t="n"/>
      <c r="S102" s="78" t="n"/>
      <c r="T102" s="78" t="n"/>
      <c r="U102" s="78" t="n"/>
      <c r="V102" s="78" t="n"/>
      <c r="W102" s="78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8" t="n"/>
      <c r="AK102" s="78" t="n"/>
      <c r="AL102" s="78" t="n"/>
      <c r="AM102" s="78" t="n"/>
      <c r="AN102" s="78" t="n"/>
      <c r="AO102" s="78" t="n"/>
      <c r="AP102" s="78" t="n"/>
      <c r="AQ102" s="78" t="n"/>
      <c r="AR102" s="78" t="n"/>
      <c r="AS102" s="78" t="n"/>
      <c r="AT102" s="78" t="n"/>
      <c r="AU102" s="78" t="n"/>
      <c r="AV102" s="78" t="n"/>
      <c r="AW102" s="78" t="n"/>
      <c r="AX102" s="78" t="n"/>
      <c r="AY102" s="78" t="n"/>
      <c r="AZ102" s="78" t="n"/>
      <c r="BA102" s="78" t="n"/>
      <c r="BB102" s="78" t="n"/>
      <c r="BC102" s="78" t="n"/>
      <c r="BD102" s="79" t="n"/>
      <c r="BE102" s="79" t="n"/>
      <c r="BF102" s="79" t="n"/>
      <c r="BG102" s="79" t="n"/>
      <c r="BH102" s="79" t="n"/>
      <c r="BI102" s="79" t="n"/>
      <c r="BJ102" s="79" t="n"/>
      <c r="BK102" s="79" t="n"/>
      <c r="BL102" s="79" t="n"/>
      <c r="BM102" s="79" t="n"/>
      <c r="BN102" s="79" t="n"/>
      <c r="BO102" s="79" t="n"/>
      <c r="BP102" s="79" t="n"/>
      <c r="BQ102" s="198">
        <f t="array" ref="BQ102">SUMPRODUCT(C100:BP100,C101:BP101,C102:BP102/1000)</f>
        <v/>
      </c>
      <c r="BR102" s="199">
        <f>BQ102/1000</f>
        <v/>
      </c>
    </row>
    <row r="103" ht="22" customHeight="1" s="165" thickBot="1">
      <c r="A103" s="142" t="inlineStr">
        <is>
          <t>Total</t>
        </is>
      </c>
      <c r="B103" s="187" t="n"/>
      <c r="C103" s="9">
        <f>SUM(C15:C102)</f>
        <v/>
      </c>
      <c r="D103" s="9">
        <f>SUM(D15:D102)</f>
        <v/>
      </c>
      <c r="E103" s="9">
        <f>SUM(E15:E102)</f>
        <v/>
      </c>
      <c r="F103" s="9">
        <f>SUM(F15:F102)</f>
        <v/>
      </c>
      <c r="G103" s="9">
        <f>SUM(G15:G102)</f>
        <v/>
      </c>
      <c r="H103" s="9">
        <f>SUM(H15:H102)</f>
        <v/>
      </c>
      <c r="I103" s="9">
        <f>SUM(I15:I102)</f>
        <v/>
      </c>
      <c r="J103" s="9">
        <f>SUM(J15:J102)</f>
        <v/>
      </c>
      <c r="K103" s="9">
        <f>SUM(K15:K102)</f>
        <v/>
      </c>
      <c r="L103" s="9">
        <f>SUM(L15:L102)</f>
        <v/>
      </c>
      <c r="M103" s="9">
        <f>SUM(M15:M102)</f>
        <v/>
      </c>
      <c r="N103" s="9">
        <f>SUM(N15:N102)</f>
        <v/>
      </c>
      <c r="O103" s="9">
        <f>SUM(O15:O102)</f>
        <v/>
      </c>
      <c r="P103" s="9">
        <f>SUM(P15:P102)</f>
        <v/>
      </c>
      <c r="Q103" s="9">
        <f>SUM(Q15:Q102)</f>
        <v/>
      </c>
      <c r="R103" s="9">
        <f>SUM(R15:R102)</f>
        <v/>
      </c>
      <c r="S103" s="9">
        <f>SUM(S15:S102)</f>
        <v/>
      </c>
      <c r="T103" s="9">
        <f>SUM(T15:T102)</f>
        <v/>
      </c>
      <c r="U103" s="9">
        <f>SUM(U15:U102)</f>
        <v/>
      </c>
      <c r="V103" s="9">
        <f>SUM(V15:V102)</f>
        <v/>
      </c>
      <c r="W103" s="9">
        <f>SUM(W15:W102)</f>
        <v/>
      </c>
      <c r="X103" s="9">
        <f>SUM(X15:X102)</f>
        <v/>
      </c>
      <c r="Y103" s="9">
        <f>SUM(Y15:Y102)</f>
        <v/>
      </c>
      <c r="Z103" s="9">
        <f>SUM(Z15:Z102)</f>
        <v/>
      </c>
      <c r="AA103" s="9">
        <f>SUM(AA15:AA102)</f>
        <v/>
      </c>
      <c r="AB103" s="9">
        <f>SUM(AB15:AB102)</f>
        <v/>
      </c>
      <c r="AC103" s="9">
        <f>SUM(AC15:AC102)</f>
        <v/>
      </c>
      <c r="AD103" s="9">
        <f>SUM(AD15:AD102)</f>
        <v/>
      </c>
      <c r="AE103" s="9">
        <f>SUM(AE15:AE102)</f>
        <v/>
      </c>
      <c r="AF103" s="9">
        <f>SUM(AF15:AF102)</f>
        <v/>
      </c>
      <c r="AG103" s="9">
        <f>SUM(AG15:AG102)</f>
        <v/>
      </c>
      <c r="AH103" s="9">
        <f>SUM(AH15:AH102)</f>
        <v/>
      </c>
      <c r="AI103" s="9">
        <f>SUM(AI15:AI102)</f>
        <v/>
      </c>
      <c r="AJ103" s="9">
        <f>SUM(AJ15:AJ102)</f>
        <v/>
      </c>
      <c r="AK103" s="9">
        <f>SUM(AK15:AK102)</f>
        <v/>
      </c>
      <c r="AL103" s="9">
        <f>SUM(AL15:AL102)</f>
        <v/>
      </c>
      <c r="AM103" s="9">
        <f>SUM(AM15:AM102)</f>
        <v/>
      </c>
      <c r="AN103" s="9">
        <f>SUM(AN15:AN102)</f>
        <v/>
      </c>
      <c r="AO103" s="9">
        <f>SUM(AO15:AO102)</f>
        <v/>
      </c>
      <c r="AP103" s="9">
        <f>SUM(AP15:AP102)</f>
        <v/>
      </c>
      <c r="AQ103" s="9">
        <f>SUM(AQ15:AQ102)</f>
        <v/>
      </c>
      <c r="AR103" s="9">
        <f>SUM(AR15:AR102)</f>
        <v/>
      </c>
      <c r="AS103" s="9">
        <f>SUM(AS15:AS102)</f>
        <v/>
      </c>
      <c r="AT103" s="9">
        <f>SUM(AT15:AT102)</f>
        <v/>
      </c>
      <c r="AU103" s="9">
        <f>SUM(AU15:AU102)</f>
        <v/>
      </c>
      <c r="AV103" s="9">
        <f>SUM(AV15:AV102)</f>
        <v/>
      </c>
      <c r="AW103" s="9">
        <f>SUM(AW15:AW102)</f>
        <v/>
      </c>
      <c r="AX103" s="9">
        <f>SUM(AX15:AX102)</f>
        <v/>
      </c>
      <c r="AY103" s="9">
        <f>SUM(AY15:AY102)</f>
        <v/>
      </c>
      <c r="AZ103" s="9">
        <f>SUM(AZ15:AZ102)</f>
        <v/>
      </c>
      <c r="BA103" s="9">
        <f>SUM(BA15:BA102)</f>
        <v/>
      </c>
      <c r="BB103" s="9">
        <f>SUM(BB15:BB102)</f>
        <v/>
      </c>
      <c r="BC103" s="9">
        <f>SUM(BC15:BC102)</f>
        <v/>
      </c>
      <c r="BD103" s="9">
        <f>SUM(BD15:BD102)</f>
        <v/>
      </c>
      <c r="BE103" s="9">
        <f>SUM(BE15:BE102)</f>
        <v/>
      </c>
      <c r="BF103" s="9">
        <f>SUM(BF15:BF102)</f>
        <v/>
      </c>
      <c r="BG103" s="9">
        <f>SUM(BG15:BG102)</f>
        <v/>
      </c>
      <c r="BH103" s="9">
        <f>SUM(BH15:BH102)</f>
        <v/>
      </c>
      <c r="BI103" s="9">
        <f>SUM(BI15:BI102)</f>
        <v/>
      </c>
      <c r="BJ103" s="9">
        <f>SUM(BJ15:BJ102)</f>
        <v/>
      </c>
      <c r="BK103" s="9">
        <f>SUM(BK15:BK102)</f>
        <v/>
      </c>
      <c r="BL103" s="9">
        <f>SUM(BL15:BL102)</f>
        <v/>
      </c>
      <c r="BM103" s="9">
        <f>SUM(BM15:BM102)</f>
        <v/>
      </c>
      <c r="BN103" s="9">
        <f>SUM(BN15:BN102)</f>
        <v/>
      </c>
      <c r="BO103" s="9">
        <f>SUM(BO15:BO102)</f>
        <v/>
      </c>
      <c r="BP103" s="9">
        <f>SUM(BP15:BP102)</f>
        <v/>
      </c>
      <c r="BQ103" s="12">
        <f>SUM(BQ15:BQ102)</f>
        <v/>
      </c>
      <c r="BR103" s="15">
        <f>SUM(BR15:BR102)</f>
        <v/>
      </c>
    </row>
  </sheetData>
  <mergeCells count="26">
    <mergeCell ref="A67:A70"/>
    <mergeCell ref="A79:A82"/>
    <mergeCell ref="A103:B103"/>
    <mergeCell ref="A11:A14"/>
    <mergeCell ref="A87:A90"/>
    <mergeCell ref="A99:A102"/>
    <mergeCell ref="A75:A78"/>
    <mergeCell ref="A55:A58"/>
    <mergeCell ref="A95:A98"/>
    <mergeCell ref="A71:A74"/>
    <mergeCell ref="A27:A30"/>
    <mergeCell ref="F4:G5"/>
    <mergeCell ref="A23:A26"/>
    <mergeCell ref="A91:A94"/>
    <mergeCell ref="A19:A22"/>
    <mergeCell ref="A63:A66"/>
    <mergeCell ref="A47:A50"/>
    <mergeCell ref="A31:A34"/>
    <mergeCell ref="A43:A46"/>
    <mergeCell ref="A83:A86"/>
    <mergeCell ref="R9:BP9"/>
    <mergeCell ref="A39:A42"/>
    <mergeCell ref="A15:A18"/>
    <mergeCell ref="A59:A62"/>
    <mergeCell ref="A35:A38"/>
    <mergeCell ref="A51:A54"/>
  </mergeCells>
  <dataValidations count="1">
    <dataValidation sqref="C11:BQ12 C15:BP15 C19:BP19 C23:BP23 C27:BP27 C31:BP31 C35:BP35 C39:BP39 C43:BP43 C47:BP47 C51:BP51 C55:BP55 C59:BP59 C63:BP63 C67:BP67 C71:BP71 C75:BP75 C79:BP79 C83:BP83 C87:BP87 C91:BP91 C95:BP95 C99:BP99" showDropDown="0" showInputMessage="1" showErrorMessage="1" allowBlank="1" type="list">
      <formula1>$Q$3:$Q$6</formula1>
    </dataValidation>
  </dataValidations>
  <pageMargins left="0.2362204724409449" right="0.2362204724409449" top="0.7480314960629921" bottom="0.3543307086614174" header="0.3149606299212598" footer="0.3149606299212598"/>
  <pageSetup orientation="landscape" paperSize="9" scale="38" fitToHeight="0" verticalDpi="0"/>
</worksheet>
</file>

<file path=xl/worksheets/sheet9.xml><?xml version="1.0" encoding="utf-8"?>
<worksheet xmlns="http://schemas.openxmlformats.org/spreadsheetml/2006/main">
  <sheetPr codeName="Sheet1">
    <outlinePr summaryBelow="1" summaryRight="1"/>
    <pageSetUpPr/>
  </sheetPr>
  <dimension ref="B1:O20"/>
  <sheetViews>
    <sheetView showGridLines="0" zoomScale="55" zoomScaleNormal="55" workbookViewId="0">
      <selection activeCell="L18" sqref="L18"/>
    </sheetView>
  </sheetViews>
  <sheetFormatPr baseColWidth="8" defaultRowHeight="14"/>
  <cols>
    <col width="3.6640625" customWidth="1" style="48" min="1" max="1"/>
    <col width="14.33203125" bestFit="1" customWidth="1" style="48" min="2" max="2"/>
    <col width="11.1640625" customWidth="1" style="48" min="3" max="3"/>
    <col width="28.25" bestFit="1" customWidth="1" style="48" min="4" max="4"/>
    <col width="91.4140625" bestFit="1" customWidth="1" style="48" min="5" max="5"/>
    <col width="3.5" customWidth="1" style="48" min="6" max="6"/>
    <col width="32.9140625" customWidth="1" style="48" min="7" max="13"/>
    <col width="8.6640625" customWidth="1" style="48" min="14" max="14"/>
    <col width="19.75" customWidth="1" style="48" min="15" max="15"/>
    <col width="8.6640625" customWidth="1" style="48" min="16" max="16384"/>
  </cols>
  <sheetData>
    <row r="1" ht="23.5" customHeight="1" s="165">
      <c r="B1" s="97" t="inlineStr">
        <is>
          <t>◆ SCOPE 3 Emissions Calculation Procedure</t>
        </is>
      </c>
    </row>
    <row r="3" ht="17.5" customFormat="1" customHeight="1" s="87">
      <c r="B3" s="161" t="inlineStr">
        <is>
          <t>SCOPE 3 Boundary</t>
        </is>
      </c>
      <c r="G3" s="88" t="inlineStr">
        <is>
          <t>STEP 1: Identify Calculation Categories</t>
        </is>
      </c>
      <c r="O3" s="88" t="inlineStr">
        <is>
          <t>STEP 2: Define Calculation Scope and Methodology</t>
        </is>
      </c>
    </row>
    <row r="5" ht="42" customFormat="1" customHeight="1" s="33">
      <c r="B5" s="162" t="inlineStr">
        <is>
          <t>Category</t>
        </is>
      </c>
      <c r="C5" s="166" t="n"/>
      <c r="D5" s="167" t="n"/>
      <c r="E5" s="162" t="inlineStr">
        <is>
          <t>Definition</t>
        </is>
      </c>
      <c r="G5" s="95" t="inlineStr">
        <is>
          <t>Scale</t>
        </is>
      </c>
      <c r="H5" s="95" t="inlineStr">
        <is>
          <t>Impact</t>
        </is>
      </c>
      <c r="I5" s="95" t="inlineStr">
        <is>
          <t>Risk</t>
        </is>
      </c>
      <c r="J5" s="95" t="inlineStr">
        <is>
          <t>Stakeholders</t>
        </is>
      </c>
      <c r="K5" s="95" t="inlineStr">
        <is>
          <t>Outsourcing</t>
        </is>
      </c>
      <c r="L5" s="95" t="inlineStr">
        <is>
          <t>Industry Guidance</t>
        </is>
      </c>
      <c r="M5" s="95" t="inlineStr">
        <is>
          <t>Revenue Analysis</t>
        </is>
      </c>
      <c r="O5" s="96" t="inlineStr">
        <is>
          <t>Calculation Method</t>
        </is>
      </c>
    </row>
    <row r="6" ht="101" customFormat="1" customHeight="1" s="34">
      <c r="B6" s="89" t="inlineStr">
        <is>
          <t>Up stream</t>
        </is>
      </c>
      <c r="C6" s="89" t="n">
        <v>1</v>
      </c>
      <c r="D6" s="90" t="inlineStr">
        <is>
          <t>Purchased Goods and Services</t>
        </is>
      </c>
      <c r="E6" s="90" t="inlineStr">
        <is>
          <t>GHG emissions from production of purchased goods/services (raw material extraction, manufacturing, etc.)</t>
        </is>
      </c>
      <c r="G6" s="91" t="inlineStr">
        <is>
          <t>Internal: steel sheet / wire / pipe / copper / lubricants, etc.
External: finished goods purchased from supply chain
Considered a significantly contributing activity to emissions</t>
        </is>
      </c>
      <c r="H6" s="91" t="n"/>
      <c r="I6" s="91" t="n"/>
      <c r="J6" s="91" t="n"/>
      <c r="K6" s="91" t="n"/>
      <c r="L6" s="91" t="n"/>
      <c r="M6" s="91" t="inlineStr">
        <is>
          <t>Selected based on top 80% of supply chain (by revenue)</t>
        </is>
      </c>
      <c r="O6" s="92" t="inlineStr">
        <is>
          <t>Average Data Method</t>
        </is>
      </c>
    </row>
    <row r="7" ht="101" customFormat="1" customHeight="1" s="34">
      <c r="B7" s="175" t="n"/>
      <c r="C7" s="89" t="n">
        <v>2</v>
      </c>
      <c r="D7" s="90" t="inlineStr">
        <is>
          <t>Capital Goods</t>
        </is>
      </c>
      <c r="E7" s="90" t="inlineStr">
        <is>
          <t>GHG emissions from producing purchased capital goods*
* Capital goods: means of production (finished goods) used for manufacturing products, providing/selling/storing/transporting services</t>
        </is>
      </c>
      <c r="G7" s="91" t="n"/>
      <c r="H7" s="91" t="n"/>
      <c r="I7" s="91" t="n"/>
      <c r="J7" s="91" t="inlineStr">
        <is>
          <t>Recognised as a material issue by customers and investors</t>
        </is>
      </c>
      <c r="K7" s="91" t="n"/>
      <c r="L7" s="91" t="n"/>
      <c r="M7" s="91" t="n"/>
      <c r="O7" s="92" t="inlineStr">
        <is>
          <t>Average Data Method</t>
        </is>
      </c>
    </row>
    <row r="8" ht="101" customFormat="1" customHeight="1" s="34">
      <c r="B8" s="175" t="n"/>
      <c r="C8" s="89" t="n">
        <v>3</v>
      </c>
      <c r="D8" s="90" t="inlineStr">
        <is>
          <t>Fuel and Energy-Related Activities</t>
        </is>
      </c>
      <c r="E8" s="90" t="inlineStr">
        <is>
          <t>GHG emissions from energy-related activities not included in Scope 1 and 2</t>
        </is>
      </c>
      <c r="G8" s="91" t="inlineStr">
        <is>
          <t>Apply upstream emission factors based on third-party verified Scope 1 &amp; 2 data – relatively clear, so completion is required</t>
        </is>
      </c>
      <c r="H8" s="91" t="n"/>
      <c r="I8" s="91" t="n"/>
      <c r="J8" s="91" t="n"/>
      <c r="K8" s="91" t="n"/>
      <c r="L8" s="91" t="n"/>
      <c r="M8" s="91" t="n"/>
      <c r="O8" s="92" t="inlineStr">
        <is>
          <t>Average Data Method</t>
        </is>
      </c>
    </row>
    <row r="9" ht="101" customFormat="1" customHeight="1" s="34">
      <c r="B9" s="175" t="n"/>
      <c r="C9" s="89" t="n">
        <v>4</v>
      </c>
      <c r="D9" s="90" t="inlineStr">
        <is>
          <t>Upstream Transportation and Distribution</t>
        </is>
      </c>
      <c r="E9" s="90" t="inlineStr">
        <is>
          <t>GHG emissions from transportation and distribution related to purchased goods and services</t>
        </is>
      </c>
      <c r="G9" s="91" t="n"/>
      <c r="H9" s="91" t="inlineStr">
        <is>
          <t>Activities with potential indirect emission reduction impact</t>
        </is>
      </c>
      <c r="I9" s="91" t="n"/>
      <c r="J9" s="91" t="n"/>
      <c r="K9" s="91" t="n"/>
      <c r="L9" s="91" t="n"/>
      <c r="M9" s="91" t="n"/>
      <c r="O9" s="92" t="inlineStr">
        <is>
          <t>Distance-Based Method</t>
        </is>
      </c>
    </row>
    <row r="10" ht="101" customFormat="1" customHeight="1" s="34">
      <c r="B10" s="175" t="n"/>
      <c r="C10" s="89" t="n">
        <v>5</v>
      </c>
      <c r="D10" s="90" t="inlineStr">
        <is>
          <t>Waste Generated in Operations</t>
        </is>
      </c>
      <c r="E10" s="90" t="inlineStr">
        <is>
          <t>GHG emissions from third-party treatment of waste generated at owned or operated facilities</t>
        </is>
      </c>
      <c r="G10" s="91" t="n"/>
      <c r="H10" s="91" t="n"/>
      <c r="I10" s="91" t="n"/>
      <c r="J10" s="91" t="inlineStr">
        <is>
          <t>In accordance with civil society and government regulations</t>
        </is>
      </c>
      <c r="K10" s="91" t="n"/>
      <c r="L10" s="91" t="n"/>
      <c r="M10" s="91" t="n"/>
      <c r="O10" s="92" t="inlineStr">
        <is>
          <t>Average Data Method</t>
        </is>
      </c>
    </row>
    <row r="11" ht="101" customFormat="1" customHeight="1" s="34">
      <c r="B11" s="175" t="n"/>
      <c r="C11" s="89" t="n">
        <v>6</v>
      </c>
      <c r="D11" s="90" t="inlineStr">
        <is>
          <t>Business Travel</t>
        </is>
      </c>
      <c r="E11" s="90" t="inlineStr">
        <is>
          <t>GHG emissions from employee business travel using transportation owned or operated by third parties</t>
        </is>
      </c>
      <c r="G11" s="91" t="n"/>
      <c r="H11" s="91" t="inlineStr">
        <is>
          <t>Target for potential emission reduction</t>
        </is>
      </c>
      <c r="I11" s="91" t="n"/>
      <c r="J11" s="91" t="n"/>
      <c r="K11" s="91" t="n"/>
      <c r="L11" s="91" t="n"/>
      <c r="M11" s="91" t="n"/>
      <c r="O11" s="92" t="inlineStr">
        <is>
          <t>Distance-Based Method</t>
        </is>
      </c>
    </row>
    <row r="12" ht="101" customFormat="1" customHeight="1" s="34">
      <c r="B12" s="175" t="n"/>
      <c r="C12" s="89" t="n">
        <v>7</v>
      </c>
      <c r="D12" s="90" t="inlineStr">
        <is>
          <t>Employee Commuting</t>
        </is>
      </c>
      <c r="E12" s="90" t="inlineStr">
        <is>
          <t>GHG emissions from transportation used by employees during commuting</t>
        </is>
      </c>
      <c r="G12" s="91" t="n"/>
      <c r="H12" s="91" t="inlineStr">
        <is>
          <t>Target for potential emission reduction</t>
        </is>
      </c>
      <c r="I12" s="91" t="n"/>
      <c r="J12" s="91" t="n"/>
      <c r="K12" s="91" t="n"/>
      <c r="L12" s="91" t="n"/>
      <c r="M12" s="91" t="n"/>
      <c r="O12" s="92" t="inlineStr">
        <is>
          <t>Distance-Based Method</t>
        </is>
      </c>
    </row>
    <row r="13" ht="101" customFormat="1" customHeight="1" s="34">
      <c r="B13" s="179" t="n"/>
      <c r="C13" s="89" t="n">
        <v>8</v>
      </c>
      <c r="D13" s="90" t="inlineStr">
        <is>
          <t>Upstream Leased Assets</t>
        </is>
      </c>
      <c r="E13" s="90" t="inlineStr">
        <is>
          <t>GHG emissions from operation of assets leased from other companies</t>
        </is>
      </c>
      <c r="G13" s="91" t="n"/>
      <c r="H13" s="93" t="inlineStr">
        <is>
          <t>Not Applicable</t>
        </is>
      </c>
      <c r="I13" s="91" t="n"/>
      <c r="J13" s="91" t="n"/>
      <c r="K13" s="91" t="n"/>
      <c r="L13" s="91" t="n"/>
      <c r="M13" s="91" t="n"/>
      <c r="O13" s="92" t="inlineStr">
        <is>
          <t>Not Applicable</t>
        </is>
      </c>
    </row>
    <row r="14" ht="101" customFormat="1" customHeight="1" s="34">
      <c r="B14" s="89" t="inlineStr">
        <is>
          <t>Down stream</t>
        </is>
      </c>
      <c r="C14" s="89" t="n">
        <v>9</v>
      </c>
      <c r="D14" s="90" t="inlineStr">
        <is>
          <t>Downstream Transportation and Distribution</t>
        </is>
      </c>
      <c r="E14" s="90" t="inlineStr">
        <is>
          <t>GHG emissions from transportation and distribution of sold products/services</t>
        </is>
      </c>
      <c r="G14" s="91" t="inlineStr">
        <is>
          <t>Estimated to contribute significantly to emissions as delivery transportation is maintained for a wide variety of customers</t>
        </is>
      </c>
      <c r="H14" s="91" t="n"/>
      <c r="I14" s="91" t="n"/>
      <c r="J14" s="91" t="n"/>
      <c r="K14" s="91" t="n"/>
      <c r="L14" s="91" t="n"/>
      <c r="M14" s="91" t="n"/>
      <c r="O14" s="92" t="inlineStr">
        <is>
          <t>Distance-Based Method</t>
        </is>
      </c>
    </row>
    <row r="15" ht="101" customFormat="1" customHeight="1" s="34">
      <c r="B15" s="175" t="n"/>
      <c r="C15" s="89" t="n">
        <v>10</v>
      </c>
      <c r="D15" s="90" t="inlineStr">
        <is>
          <t>Processing of Sold Products</t>
        </is>
      </c>
      <c r="E15" s="90" t="inlineStr">
        <is>
          <t>GHG emissions from processing of sold products by third-party companies that purchased them
(Only calculated when selling intermediate goods/parts)</t>
        </is>
      </c>
      <c r="G15" s="91" t="n"/>
      <c r="H15" s="91" t="n"/>
      <c r="I15" s="91" t="n"/>
      <c r="J15" s="91" t="inlineStr">
        <is>
          <t>Difficult to obtain information from customers</t>
        </is>
      </c>
      <c r="K15" s="91" t="n"/>
      <c r="L15" s="91" t="n"/>
      <c r="M15" s="91" t="n"/>
      <c r="O15" s="92" t="inlineStr">
        <is>
          <t>Not Applicable</t>
        </is>
      </c>
    </row>
    <row r="16" ht="101" customFormat="1" customHeight="1" s="34">
      <c r="B16" s="175" t="n"/>
      <c r="C16" s="89" t="n">
        <v>11</v>
      </c>
      <c r="D16" s="90" t="inlineStr">
        <is>
          <t>Use of Sold Products</t>
        </is>
      </c>
      <c r="E16" s="90" t="inlineStr">
        <is>
          <t>GHG emissions from use of sold products/services</t>
        </is>
      </c>
      <c r="G16" s="91" t="n"/>
      <c r="H16" s="91" t="n"/>
      <c r="I16" s="91" t="n"/>
      <c r="J16" s="91" t="inlineStr">
        <is>
          <t>Difficult to obtain information from customers</t>
        </is>
      </c>
      <c r="K16" s="91" t="n"/>
      <c r="L16" s="91" t="n"/>
      <c r="M16" s="91" t="n"/>
      <c r="O16" s="92" t="inlineStr">
        <is>
          <t>Not Applicable</t>
        </is>
      </c>
    </row>
    <row r="17" ht="101" customFormat="1" customHeight="1" s="34">
      <c r="B17" s="175" t="n"/>
      <c r="C17" s="89" t="n">
        <v>12</v>
      </c>
      <c r="D17" s="90" t="inlineStr">
        <is>
          <t>End-of-Life Treatment of Sold Products</t>
        </is>
      </c>
      <c r="E17" s="90" t="inlineStr">
        <is>
          <t>GHG emissions from disposal of sold products</t>
        </is>
      </c>
      <c r="G17" s="91" t="n"/>
      <c r="H17" s="91" t="n"/>
      <c r="I17" s="91" t="n"/>
      <c r="J17" s="91" t="inlineStr">
        <is>
          <t>Difficult to obtain information from customers</t>
        </is>
      </c>
      <c r="K17" s="91" t="n"/>
      <c r="L17" s="91" t="n"/>
      <c r="M17" s="91" t="n"/>
      <c r="O17" s="92" t="inlineStr">
        <is>
          <t>Not Applicable</t>
        </is>
      </c>
    </row>
    <row r="18" ht="101" customFormat="1" customHeight="1" s="34">
      <c r="B18" s="175" t="n"/>
      <c r="C18" s="89" t="n">
        <v>13</v>
      </c>
      <c r="D18" s="90" t="inlineStr">
        <is>
          <t>Downstream Leased Assets</t>
        </is>
      </c>
      <c r="E18" s="90" t="inlineStr">
        <is>
          <t>GHG emissions from operation of owned assets leased to other companies</t>
        </is>
      </c>
      <c r="G18" s="91" t="n"/>
      <c r="H18" s="93" t="inlineStr">
        <is>
          <t>Not Applicable</t>
        </is>
      </c>
      <c r="I18" s="91" t="n"/>
      <c r="J18" s="91" t="n"/>
      <c r="K18" s="91" t="n"/>
      <c r="L18" s="91" t="n"/>
      <c r="M18" s="91" t="n"/>
      <c r="O18" s="92" t="inlineStr">
        <is>
          <t>Not Applicable</t>
        </is>
      </c>
    </row>
    <row r="19" ht="101" customFormat="1" customHeight="1" s="34">
      <c r="B19" s="175" t="n"/>
      <c r="C19" s="89" t="n">
        <v>14</v>
      </c>
      <c r="D19" s="90" t="inlineStr">
        <is>
          <t>Franchises</t>
        </is>
      </c>
      <c r="E19" s="90" t="inlineStr">
        <is>
          <t>Scope 1 &amp; 2 emissions from franchise outlets (only calculated when operating a franchise business)</t>
        </is>
      </c>
      <c r="G19" s="91" t="n"/>
      <c r="H19" s="91" t="n"/>
      <c r="I19" s="91" t="n"/>
      <c r="J19" s="91" t="inlineStr">
        <is>
          <t>Difficult to obtain information from customers</t>
        </is>
      </c>
      <c r="K19" s="91" t="n"/>
      <c r="L19" s="91" t="n"/>
      <c r="M19" s="91" t="n"/>
      <c r="O19" s="92" t="inlineStr">
        <is>
          <t>Not Applicable</t>
        </is>
      </c>
    </row>
    <row r="20" ht="101" customFormat="1" customHeight="1" s="34">
      <c r="B20" s="179" t="n"/>
      <c r="C20" s="89" t="n">
        <v>15</v>
      </c>
      <c r="D20" s="90" t="inlineStr">
        <is>
          <t>Investments</t>
        </is>
      </c>
      <c r="E20" s="90" t="inlineStr">
        <is>
          <t>Scope 1 &amp; 2 emissions from investee companies</t>
        </is>
      </c>
      <c r="G20" s="91" t="n"/>
      <c r="H20" s="93" t="inlineStr">
        <is>
          <t>Not Applicable</t>
        </is>
      </c>
      <c r="I20" s="91" t="n"/>
      <c r="J20" s="91" t="n"/>
      <c r="K20" s="91" t="n"/>
      <c r="L20" s="91" t="n"/>
      <c r="M20" s="91" t="n"/>
      <c r="O20" s="92" t="inlineStr">
        <is>
          <t>Not Applicable</t>
        </is>
      </c>
    </row>
    <row r="21" ht="85" customHeight="1" s="165"/>
    <row r="22" ht="85" customHeight="1" s="165"/>
    <row r="23" ht="85" customHeight="1" s="165"/>
    <row r="24" ht="85" customHeight="1" s="165"/>
    <row r="25" ht="85" customHeight="1" s="165"/>
    <row r="26" ht="85" customHeight="1" s="165"/>
    <row r="27" ht="85" customHeight="1" s="165"/>
    <row r="28" ht="85" customHeight="1" s="165"/>
    <row r="29" ht="85" customHeight="1" s="165"/>
    <row r="30" ht="85" customHeight="1" s="165"/>
  </sheetData>
  <mergeCells count="4">
    <mergeCell ref="B5:D5"/>
    <mergeCell ref="B14:B20"/>
    <mergeCell ref="B3:E3"/>
    <mergeCell ref="B6:B13"/>
  </mergeCells>
  <pageMargins left="0.7" right="0.7" top="0.75" bottom="0.75" header="0.3" footer="0.3"/>
  <pageSetup orientation="portrait" paperSize="9" verticalDpi="0"/>
</worksheet>
</file>

<file path=xl/worksheets/sheet10.xml><?xml version="1.0" encoding="utf-8"?>
<worksheet xmlns="http://schemas.openxmlformats.org/spreadsheetml/2006/main">
  <sheetPr codeName="Sheet3">
    <outlinePr summaryBelow="1" summaryRight="1"/>
    <pageSetUpPr/>
  </sheetPr>
  <dimension ref="J13:L16"/>
  <sheetViews>
    <sheetView workbookViewId="0">
      <selection activeCell="M27" sqref="M27"/>
    </sheetView>
  </sheetViews>
  <sheetFormatPr baseColWidth="8" defaultRowHeight="17"/>
  <cols>
    <col width="11" bestFit="1" customWidth="1" style="165" min="12" max="12"/>
  </cols>
  <sheetData>
    <row r="13">
      <c r="J13" s="239" t="n"/>
      <c r="K13" s="239" t="n"/>
      <c r="L13" s="239" t="n"/>
    </row>
    <row r="14">
      <c r="J14" s="239" t="n"/>
      <c r="K14" s="239" t="n"/>
      <c r="L14" s="239" t="n"/>
    </row>
    <row r="15">
      <c r="J15" s="239" t="n"/>
      <c r="K15" s="239" t="n"/>
      <c r="L15" s="239" t="n"/>
    </row>
    <row r="16">
      <c r="J16" s="239" t="n"/>
      <c r="K16" s="239" t="n"/>
      <c r="L16" s="239" t="n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항오 김</dc:creator>
  <dcterms:created xmlns:dcterms="http://purl.org/dc/terms/" xmlns:xsi="http://www.w3.org/2001/XMLSchema-instance" xsi:type="dcterms:W3CDTF">2025-05-06T23:39:02Z</dcterms:created>
  <dcterms:modified xmlns:dcterms="http://purl.org/dc/terms/" xmlns:xsi="http://www.w3.org/2001/XMLSchema-instance" xsi:type="dcterms:W3CDTF">2026-05-12T09:24:56Z</dcterms:modified>
  <cp:lastModifiedBy>항오 김</cp:lastModifiedBy>
  <cp:lastPrinted>2025-05-09T03:01:45Z</cp:lastPrinted>
</cp:coreProperties>
</file>